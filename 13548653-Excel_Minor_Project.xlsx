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nes\Downloads\project\"/>
    </mc:Choice>
  </mc:AlternateContent>
  <xr:revisionPtr revIDLastSave="0" documentId="13_ncr:1_{E6412782-027E-48AD-9262-15B61AF97282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/>
</workbook>
</file>

<file path=xl/calcChain.xml><?xml version="1.0" encoding="utf-8"?>
<calcChain xmlns="http://schemas.openxmlformats.org/spreadsheetml/2006/main">
  <c r="G61" i="4" l="1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E9" i="11" a="1"/>
  <c r="E9" i="11" s="1"/>
  <c r="E8" i="11"/>
  <c r="E6" i="11"/>
  <c r="E5" i="11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7" i="10"/>
  <c r="E5" i="10"/>
  <c r="E8" i="10"/>
  <c r="E6" i="10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2" i="2"/>
  <c r="N1981" i="2"/>
  <c r="N1980" i="2"/>
  <c r="N1979" i="2"/>
  <c r="N1978" i="2"/>
  <c r="N1977" i="2"/>
  <c r="N1976" i="2"/>
  <c r="N1975" i="2"/>
  <c r="N1974" i="2"/>
  <c r="N1973" i="2"/>
  <c r="N1972" i="2"/>
  <c r="N1971" i="2"/>
  <c r="N1970" i="2"/>
  <c r="N1969" i="2"/>
  <c r="N1968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N2" i="2"/>
  <c r="M2" i="2"/>
  <c r="L2" i="2"/>
  <c r="E10" i="9"/>
  <c r="E9" i="9" a="1"/>
  <c r="E9" i="9" s="1"/>
  <c r="E8" i="9" a="1"/>
  <c r="E8" i="9" s="1"/>
  <c r="E9" i="7"/>
  <c r="E7" i="9"/>
  <c r="E6" i="9"/>
  <c r="E5" i="9"/>
  <c r="E7" i="8"/>
  <c r="E9" i="8"/>
  <c r="E10" i="8"/>
  <c r="E8" i="8"/>
  <c r="E5" i="8"/>
  <c r="E6" i="8"/>
  <c r="E12" i="7"/>
  <c r="E11" i="7"/>
  <c r="E10" i="7"/>
  <c r="E8" i="7"/>
  <c r="E7" i="7"/>
  <c r="E6" i="7"/>
  <c r="E5" i="7"/>
  <c r="E7" i="11" l="1"/>
</calcChain>
</file>

<file path=xl/sharedStrings.xml><?xml version="1.0" encoding="utf-8"?>
<sst xmlns="http://schemas.openxmlformats.org/spreadsheetml/2006/main" count="13828" uniqueCount="3028">
  <si>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</si>
  <si>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</si>
  <si>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</si>
  <si>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</si>
  <si>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</si>
  <si>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</si>
  <si>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</si>
  <si>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</si>
  <si>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</si>
  <si>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</si>
  <si>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</si>
  <si>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</si>
  <si>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</si>
  <si>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</si>
  <si>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</si>
  <si>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</si>
  <si>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</si>
  <si>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</si>
  <si>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</si>
  <si>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</si>
  <si>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</si>
  <si>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</si>
  <si>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</si>
  <si>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</si>
  <si>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</si>
  <si>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</si>
  <si>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</si>
  <si>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</si>
  <si>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</si>
  <si>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</si>
  <si>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</si>
  <si>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</si>
  <si>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</si>
  <si>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</si>
  <si>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</si>
  <si>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</si>
  <si>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</si>
  <si>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</si>
  <si>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</si>
  <si>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</si>
  <si>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</si>
  <si>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</si>
  <si>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</si>
  <si>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</si>
  <si>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</si>
  <si>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</si>
  <si>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</si>
  <si>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</si>
  <si>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</si>
  <si>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</si>
  <si>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</si>
  <si>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</si>
  <si>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</si>
  <si>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</si>
  <si>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</si>
  <si>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</si>
  <si>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</si>
  <si>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</si>
  <si>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</si>
  <si>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</si>
  <si>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</si>
  <si>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</si>
  <si>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</si>
  <si>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</si>
  <si>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</si>
  <si>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</si>
  <si>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</si>
  <si>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</si>
  <si>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</si>
  <si>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</si>
  <si>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</si>
  <si>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</si>
  <si>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</si>
  <si>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</si>
  <si>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</si>
  <si>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</si>
  <si>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</si>
  <si>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</si>
  <si>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</si>
  <si>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</si>
  <si>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</si>
  <si>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</si>
  <si>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</si>
  <si>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</si>
  <si>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</si>
  <si>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</si>
  <si>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</si>
  <si>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</si>
  <si>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</si>
  <si>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</si>
  <si>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</si>
  <si>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</si>
  <si>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</si>
  <si>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</si>
  <si>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</si>
  <si>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</si>
  <si>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</si>
  <si>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</si>
  <si>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</si>
  <si>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</si>
  <si>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</si>
  <si>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</si>
  <si>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</si>
  <si>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</si>
  <si>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</si>
  <si>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</si>
  <si>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</si>
  <si>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</si>
  <si>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</si>
  <si>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</si>
  <si>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</si>
  <si>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</si>
  <si>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</si>
  <si>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</si>
  <si>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</si>
  <si>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</si>
  <si>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</si>
  <si>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</si>
  <si>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</si>
  <si>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</si>
  <si>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</si>
  <si>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</si>
  <si>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</si>
  <si>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</si>
  <si>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</si>
  <si>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</si>
  <si>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</si>
  <si>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</si>
  <si>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</si>
  <si>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</si>
  <si>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</si>
  <si>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</si>
  <si>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</si>
  <si>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</si>
  <si>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</si>
  <si>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</si>
  <si>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</si>
  <si>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</si>
  <si>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</si>
  <si>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</si>
  <si>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</si>
  <si>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</si>
  <si>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</si>
  <si>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</si>
  <si>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</si>
  <si>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</si>
  <si>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</si>
  <si>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</si>
  <si>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</si>
  <si>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</si>
  <si>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</si>
  <si>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</si>
  <si>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</si>
  <si>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</si>
  <si>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</si>
  <si>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</si>
  <si>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</si>
  <si>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</si>
  <si>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</si>
  <si>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</si>
  <si>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</si>
  <si>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</si>
  <si>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</si>
  <si>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</si>
  <si>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</si>
  <si>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</si>
  <si>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</si>
  <si>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</si>
  <si>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</si>
  <si>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</si>
  <si>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</si>
  <si>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</si>
  <si>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</si>
  <si>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</si>
  <si>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</si>
  <si>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</si>
  <si>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</si>
  <si>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</si>
  <si>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</si>
  <si>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</si>
  <si>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</si>
  <si>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</si>
  <si>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</si>
  <si>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</si>
  <si>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</si>
  <si>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</si>
  <si>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</si>
  <si>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</si>
  <si>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</si>
  <si>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</si>
  <si>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</si>
  <si>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</si>
  <si>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</si>
  <si>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</si>
  <si>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</si>
  <si>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</si>
  <si>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</si>
  <si>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</si>
  <si>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</si>
  <si>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</si>
  <si>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</si>
  <si>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</si>
  <si>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</si>
  <si>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</si>
  <si>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</si>
  <si>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</si>
  <si>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</si>
  <si>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</si>
  <si>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</si>
  <si>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</si>
  <si>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</si>
  <si>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</si>
  <si>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</si>
  <si>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</si>
  <si>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</si>
  <si>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</si>
  <si>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</si>
  <si>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</si>
  <si>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</si>
  <si>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</si>
  <si>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</si>
  <si>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</si>
  <si>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</si>
  <si>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</si>
  <si>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</si>
  <si>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</si>
  <si>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</si>
  <si>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</si>
  <si>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</si>
  <si>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</si>
  <si>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</si>
  <si>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</si>
  <si>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</si>
  <si>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</si>
  <si>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</si>
  <si>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</si>
  <si>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</si>
  <si>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</si>
  <si>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</si>
  <si>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</si>
  <si>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</si>
  <si>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</si>
  <si>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</si>
  <si>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</si>
  <si>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</si>
  <si>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</si>
  <si>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</si>
  <si>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</si>
  <si>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</si>
  <si>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</si>
  <si>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</si>
  <si>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</si>
  <si>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</si>
  <si>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</si>
  <si>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</si>
  <si>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</si>
  <si>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</si>
  <si>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</si>
  <si>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</si>
  <si>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</si>
  <si>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</si>
  <si>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</si>
  <si>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</si>
  <si>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</si>
  <si>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</si>
  <si>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</si>
  <si>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</si>
  <si>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</si>
  <si>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</si>
  <si>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</si>
  <si>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</si>
  <si>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</si>
  <si>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</si>
  <si>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</si>
  <si>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</si>
  <si>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</si>
  <si>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</si>
  <si>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</si>
  <si>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</si>
  <si>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</si>
  <si>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</si>
  <si>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</si>
  <si>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</si>
  <si>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</si>
  <si>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</si>
  <si>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</si>
  <si>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</si>
  <si>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</si>
  <si>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</si>
  <si>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</si>
  <si>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</si>
  <si>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</si>
  <si>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</si>
  <si>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</si>
  <si>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</si>
  <si>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</si>
  <si>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</si>
  <si>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</si>
  <si>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</si>
  <si>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</si>
  <si>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</si>
  <si>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</si>
  <si>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</si>
  <si>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</si>
  <si>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</si>
  <si>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</si>
  <si>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</si>
  <si>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</si>
  <si>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</si>
  <si>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</si>
  <si>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</si>
  <si>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</si>
  <si>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</si>
  <si>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</si>
  <si>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</si>
  <si>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</si>
  <si>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</si>
  <si>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</si>
  <si>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</si>
  <si>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</si>
  <si>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</si>
  <si>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</si>
  <si>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</si>
  <si>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</si>
  <si>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</si>
  <si>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</si>
  <si>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</si>
  <si>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</si>
  <si>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</si>
  <si>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</si>
  <si>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</si>
  <si>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</si>
  <si>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</si>
  <si>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</si>
  <si>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</si>
  <si>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</si>
  <si>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</si>
  <si>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</si>
  <si>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</si>
  <si>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</si>
  <si>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</si>
  <si>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</si>
  <si>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</si>
  <si>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</si>
  <si>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</si>
  <si>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</si>
  <si>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</si>
  <si>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</si>
  <si>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</si>
  <si>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</si>
  <si>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</si>
  <si>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</si>
  <si>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</si>
  <si>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</si>
  <si>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</si>
  <si>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</si>
  <si>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</si>
  <si>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</si>
  <si>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</si>
  <si>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</si>
  <si>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</si>
  <si>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</si>
  <si>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</si>
  <si>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</si>
  <si>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</si>
  <si>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</si>
  <si>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</si>
  <si>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</si>
  <si>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</si>
  <si>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</si>
  <si>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</si>
  <si>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</si>
  <si>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</si>
  <si>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</si>
  <si>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</si>
  <si>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</si>
  <si>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</si>
  <si>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</si>
  <si>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</si>
  <si>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</si>
  <si>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</si>
  <si>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</si>
  <si>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</si>
  <si>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</si>
  <si>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</si>
  <si>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</si>
  <si>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</si>
  <si>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</si>
  <si>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</si>
  <si>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</si>
  <si>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</si>
  <si>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</si>
  <si>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</si>
  <si>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</si>
  <si>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</si>
  <si>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</si>
  <si>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</si>
  <si>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</si>
  <si>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</si>
  <si>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</si>
  <si>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</si>
  <si>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</si>
  <si>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</si>
  <si>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</si>
  <si>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</si>
  <si>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</si>
  <si>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</si>
  <si>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</si>
  <si>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</si>
  <si>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</si>
  <si>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</si>
  <si>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</si>
  <si>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</si>
  <si>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</si>
  <si>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</si>
  <si>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</si>
  <si>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</si>
  <si>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</si>
  <si>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</si>
  <si>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</si>
  <si>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</si>
  <si>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</si>
  <si>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</si>
  <si>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</si>
  <si>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</si>
  <si>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</si>
  <si>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</si>
  <si>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</si>
  <si>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</si>
  <si>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</si>
  <si>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</si>
  <si>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</si>
  <si>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</si>
  <si>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</si>
  <si>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</si>
  <si>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</si>
  <si>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</si>
  <si>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</si>
  <si>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</si>
  <si>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</si>
  <si>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</si>
  <si>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</si>
  <si>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</si>
  <si>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</si>
  <si>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</si>
  <si>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</si>
  <si>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</si>
  <si>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</si>
  <si>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</si>
  <si>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</si>
  <si>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</si>
  <si>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</si>
  <si>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</si>
  <si>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</si>
  <si>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</si>
  <si>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</si>
  <si>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</si>
  <si>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</si>
  <si>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</si>
  <si>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</si>
  <si>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</si>
  <si>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</si>
  <si>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</si>
  <si>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</si>
  <si>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</si>
  <si>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</si>
  <si>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</si>
  <si>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</si>
  <si>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</si>
  <si>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</si>
  <si>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</si>
  <si>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</si>
  <si>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</si>
  <si>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</si>
  <si>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</si>
  <si>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</si>
  <si>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</si>
  <si>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</si>
  <si>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</si>
  <si>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</si>
  <si>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</si>
  <si>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</si>
  <si>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</si>
  <si>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</si>
  <si>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</si>
  <si>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</si>
  <si>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</si>
  <si>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</si>
  <si>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</si>
  <si>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</si>
  <si>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</si>
  <si>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</si>
  <si>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</si>
  <si>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</si>
  <si>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</si>
  <si>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</si>
  <si>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</si>
  <si>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</si>
  <si>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</si>
  <si>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</si>
  <si>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</si>
  <si>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</si>
  <si>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</si>
  <si>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</si>
  <si>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</si>
  <si>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</si>
  <si>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</si>
  <si>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</si>
  <si>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</si>
  <si>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</si>
  <si>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</si>
  <si>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</si>
  <si>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</si>
  <si>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</si>
  <si>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</si>
  <si>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</si>
  <si>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</si>
  <si>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</si>
  <si>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</si>
  <si>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</si>
  <si>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</si>
  <si>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</si>
  <si>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</si>
  <si>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</si>
  <si>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</si>
  <si>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</si>
  <si>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</si>
  <si>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</si>
  <si>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</si>
  <si>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</si>
  <si>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</si>
  <si>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</si>
  <si>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</si>
  <si>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</si>
  <si>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</si>
  <si>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</si>
  <si>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</si>
  <si>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</si>
  <si>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</si>
  <si>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</si>
  <si>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</si>
  <si>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</si>
  <si>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</si>
  <si>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</si>
  <si>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</si>
  <si>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</si>
  <si>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</si>
  <si>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</si>
  <si>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</si>
  <si>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</si>
  <si>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</si>
  <si>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</si>
  <si>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</si>
  <si>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</si>
  <si>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</si>
  <si>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</si>
  <si>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</si>
  <si>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</si>
  <si>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</si>
  <si>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</si>
  <si>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</si>
  <si>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</si>
  <si>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</si>
  <si>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</si>
  <si>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</si>
  <si>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</si>
  <si>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</si>
  <si>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</si>
  <si>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</si>
  <si>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</si>
  <si>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</si>
  <si>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</si>
  <si>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</si>
  <si>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</si>
  <si>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</si>
  <si>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</si>
  <si>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</si>
  <si>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</si>
  <si>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</si>
  <si>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</si>
  <si>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</si>
  <si>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</si>
  <si>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</si>
  <si>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</si>
  <si>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</si>
  <si>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</si>
  <si>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</si>
  <si>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</si>
  <si>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</si>
  <si>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</si>
  <si>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</si>
  <si>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</si>
  <si>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</si>
  <si>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</si>
  <si>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</si>
  <si>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</si>
  <si>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</si>
  <si>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</si>
  <si>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</si>
  <si>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</si>
  <si>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</si>
  <si>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</si>
  <si>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</si>
  <si>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</si>
  <si>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</si>
  <si>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</si>
  <si>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</si>
  <si>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</si>
  <si>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</si>
  <si>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</si>
  <si>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</si>
  <si>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</si>
  <si>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</si>
  <si>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</si>
  <si>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</si>
  <si>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</si>
  <si>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</si>
  <si>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</si>
  <si>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</si>
  <si>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</si>
  <si>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</si>
  <si>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</si>
  <si>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</si>
  <si>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</si>
  <si>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</si>
  <si>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</si>
  <si>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</si>
  <si>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</si>
  <si>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</si>
  <si>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</si>
  <si>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</si>
  <si>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</si>
  <si>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</si>
  <si>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</si>
  <si>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</si>
  <si>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</si>
  <si>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</si>
  <si>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</si>
  <si>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</si>
  <si>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</si>
  <si>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</si>
  <si>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</si>
  <si>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</si>
  <si>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</si>
  <si>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</si>
  <si>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</si>
  <si>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</si>
  <si>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</si>
  <si>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</si>
  <si>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</si>
  <si>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</si>
  <si>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</si>
  <si>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</si>
  <si>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</si>
  <si>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</si>
  <si>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</si>
  <si>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</si>
  <si>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</si>
  <si>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</si>
  <si>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</si>
  <si>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</si>
  <si>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</si>
  <si>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</si>
  <si>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</si>
  <si>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</si>
  <si>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</si>
  <si>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</si>
  <si>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</si>
  <si>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</si>
  <si>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</si>
  <si>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</si>
  <si>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</si>
  <si>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</si>
  <si>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</si>
  <si>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</si>
  <si>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</si>
  <si>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</si>
  <si>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</si>
  <si>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</si>
  <si>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</si>
  <si>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</si>
  <si>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</si>
  <si>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</si>
  <si>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</si>
  <si>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</si>
  <si>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</si>
  <si>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</si>
  <si>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</si>
  <si>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</si>
  <si>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</si>
  <si>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</si>
  <si>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</si>
  <si>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</si>
  <si>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</si>
  <si>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</si>
  <si>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</si>
  <si>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</si>
  <si>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</si>
  <si>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</si>
  <si>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</si>
  <si>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</si>
  <si>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</si>
  <si>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</si>
  <si>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</si>
  <si>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</si>
  <si>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</si>
  <si>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</si>
  <si>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</si>
  <si>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</si>
  <si>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</si>
  <si>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</si>
  <si>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</si>
  <si>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</si>
  <si>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</si>
  <si>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</si>
  <si>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</si>
  <si>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</si>
  <si>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</si>
  <si>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</si>
  <si>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</si>
  <si>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</si>
  <si>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</si>
  <si>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</si>
  <si>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</si>
  <si>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</si>
  <si>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</si>
  <si>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</si>
  <si>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</si>
  <si>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</si>
  <si>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</si>
  <si>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</si>
  <si>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</si>
  <si>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</si>
  <si>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</si>
  <si>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</si>
  <si>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</si>
  <si>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</si>
  <si>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</si>
  <si>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</si>
  <si>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</si>
  <si>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</si>
  <si>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</si>
  <si>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</si>
  <si>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</si>
  <si>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</si>
  <si>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</si>
  <si>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</si>
  <si>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</si>
  <si>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</si>
  <si>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</si>
  <si>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</si>
  <si>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</si>
  <si>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</si>
  <si>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</si>
  <si>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</si>
  <si>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</si>
  <si>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</si>
  <si>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</si>
  <si>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</si>
  <si>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</si>
  <si>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</si>
  <si>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</si>
  <si>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</si>
  <si>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</si>
  <si>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</si>
  <si>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</si>
  <si>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</si>
  <si>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</si>
  <si>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</si>
  <si>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</si>
  <si>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</si>
  <si>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</si>
  <si>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</si>
  <si>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</si>
  <si>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</si>
  <si>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</si>
  <si>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</si>
  <si>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</si>
  <si>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</si>
  <si>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</si>
  <si>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</si>
  <si>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</si>
  <si>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</si>
  <si>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</si>
  <si>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</si>
  <si>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</si>
  <si>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</si>
  <si>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</si>
  <si>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</si>
  <si>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</si>
  <si>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</si>
  <si>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</si>
  <si>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</si>
  <si>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</si>
  <si>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</si>
  <si>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</si>
  <si>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</si>
  <si>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</si>
  <si>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</si>
  <si>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</si>
  <si>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</si>
  <si>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</si>
  <si>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</si>
  <si>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</si>
  <si>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</si>
  <si>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</si>
  <si>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</si>
  <si>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</si>
  <si>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</si>
  <si>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</si>
  <si>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</si>
  <si>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</si>
  <si>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</si>
  <si>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</si>
  <si>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</si>
  <si>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</si>
  <si>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</si>
  <si>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</si>
  <si>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</si>
  <si>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</si>
  <si>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</si>
  <si>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</si>
  <si>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</si>
  <si>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</si>
  <si>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</si>
  <si>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</si>
  <si>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</si>
  <si>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</si>
  <si>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</si>
  <si>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</si>
  <si>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</si>
  <si>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</si>
  <si>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</si>
  <si>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</si>
  <si>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</si>
  <si>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</si>
  <si>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</si>
  <si>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</si>
  <si>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</si>
  <si>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</si>
  <si>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</si>
  <si>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</si>
  <si>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</si>
  <si>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</si>
  <si>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</si>
  <si>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</si>
  <si>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</si>
  <si>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</si>
  <si>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</si>
  <si>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</si>
  <si>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</si>
  <si>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</si>
  <si>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</si>
  <si>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</si>
  <si>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</si>
  <si>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</si>
  <si>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</si>
  <si>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</si>
  <si>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</si>
  <si>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</si>
  <si>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</si>
  <si>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</si>
  <si>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</si>
  <si>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</si>
  <si>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</si>
  <si>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</si>
  <si>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</si>
  <si>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</si>
  <si>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</si>
  <si>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</si>
  <si>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</si>
  <si>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</si>
  <si>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</si>
  <si>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</si>
  <si>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</si>
  <si>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</si>
  <si>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</si>
  <si>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</si>
  <si>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</si>
  <si>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</si>
  <si>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</si>
  <si>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</si>
  <si>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</si>
  <si>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</si>
  <si>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</si>
  <si>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</si>
  <si>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</si>
  <si>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</si>
  <si>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</si>
  <si>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</si>
  <si>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</si>
  <si>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</si>
  <si>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</si>
  <si>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</si>
  <si>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</si>
  <si>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</si>
  <si>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</si>
  <si>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</si>
  <si>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</si>
  <si>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</si>
  <si>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</si>
  <si>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</si>
  <si>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</si>
  <si>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</si>
  <si>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</si>
  <si>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</si>
  <si>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</si>
  <si>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</si>
  <si>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</si>
  <si>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</si>
  <si>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</si>
  <si>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</si>
  <si>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</si>
  <si>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</si>
  <si>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</si>
  <si>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</si>
  <si>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</si>
  <si>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</si>
  <si>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</si>
  <si>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</si>
  <si>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</si>
  <si>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</si>
  <si>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</si>
  <si>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</si>
  <si>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</si>
  <si>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</si>
  <si>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</si>
  <si>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</si>
  <si>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</si>
  <si>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</si>
  <si>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</si>
  <si>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</si>
  <si>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</si>
  <si>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</si>
  <si>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</si>
  <si>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</si>
  <si>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</si>
  <si>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</si>
  <si>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</si>
  <si>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</si>
  <si>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</si>
  <si>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</si>
  <si>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</si>
  <si>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</si>
  <si>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</si>
  <si>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</si>
  <si>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</si>
  <si>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</si>
  <si>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</si>
  <si>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</si>
  <si>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</si>
  <si>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</si>
  <si>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</si>
  <si>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</si>
  <si>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</si>
  <si>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</si>
  <si>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</si>
  <si>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</si>
  <si>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</si>
  <si>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</si>
  <si>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</si>
  <si>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</si>
  <si>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</si>
  <si>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</si>
  <si>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</si>
  <si>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</si>
  <si>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</si>
  <si>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</si>
  <si>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</si>
  <si>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</si>
  <si>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</si>
  <si>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</si>
  <si>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</si>
  <si>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</si>
  <si>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</si>
  <si>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</si>
  <si>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</si>
  <si>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</si>
  <si>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</si>
  <si>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</si>
  <si>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</si>
  <si>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</si>
  <si>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</si>
  <si>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</si>
  <si>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</si>
  <si>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</si>
  <si>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</si>
  <si>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</si>
  <si>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</si>
  <si>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</si>
  <si>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</si>
  <si>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</si>
  <si>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</si>
  <si>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</si>
  <si>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</si>
  <si>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</si>
  <si>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</si>
  <si>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</si>
  <si>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</si>
  <si>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</si>
  <si>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</si>
  <si>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</si>
  <si>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</si>
  <si>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</si>
  <si>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</si>
  <si>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</si>
  <si>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</si>
  <si>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</si>
  <si>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</si>
  <si>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</si>
  <si>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</si>
  <si>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</si>
  <si>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</si>
  <si>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</si>
  <si>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</si>
  <si>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</si>
  <si>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</si>
  <si>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</si>
  <si>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</si>
  <si>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</si>
  <si>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</si>
  <si>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</si>
  <si>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</si>
  <si>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</si>
  <si>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</si>
  <si>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</si>
  <si>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</si>
  <si>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</si>
  <si>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</si>
  <si>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</si>
  <si>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</si>
  <si>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</si>
  <si>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</si>
  <si>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</si>
  <si>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</si>
  <si>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</si>
  <si>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</si>
  <si>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</si>
  <si>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</si>
  <si>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</si>
  <si>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</si>
  <si>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</si>
  <si>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</si>
  <si>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</si>
  <si>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</si>
  <si>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</si>
  <si>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</si>
  <si>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</si>
  <si>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</si>
  <si>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</si>
  <si>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</si>
  <si>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</si>
  <si>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</si>
  <si>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</si>
  <si>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</si>
  <si>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</si>
  <si>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</si>
  <si>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</si>
  <si>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</si>
  <si>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</si>
  <si>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</si>
  <si>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</si>
  <si>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</si>
  <si>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</si>
  <si>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</si>
  <si>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</si>
  <si>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</si>
  <si>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</si>
  <si>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</si>
  <si>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</si>
  <si>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</si>
  <si>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</si>
  <si>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</si>
  <si>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</si>
  <si>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</si>
  <si>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</si>
  <si>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</si>
  <si>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</si>
  <si>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</si>
  <si>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</si>
  <si>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</si>
  <si>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</si>
  <si>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</si>
  <si>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</si>
  <si>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</si>
  <si>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</si>
  <si>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</si>
  <si>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</si>
  <si>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</si>
  <si>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</si>
  <si>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</si>
  <si>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</si>
  <si>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</si>
  <si>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</si>
  <si>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</si>
  <si>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</si>
  <si>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</si>
  <si>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</si>
  <si>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</si>
  <si>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</si>
  <si>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</si>
  <si>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</si>
  <si>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</si>
  <si>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</si>
  <si>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</si>
  <si>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</si>
  <si>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</si>
  <si>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</si>
  <si>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</si>
  <si>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</si>
  <si>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</si>
  <si>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</si>
  <si>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</si>
  <si>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</si>
  <si>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</si>
  <si>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</si>
  <si>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</si>
  <si>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</si>
  <si>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</si>
  <si>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</si>
  <si>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</si>
  <si>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</si>
  <si>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</si>
  <si>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</si>
  <si>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</si>
  <si>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</si>
  <si>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</si>
  <si>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</si>
  <si>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</si>
  <si>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</si>
  <si>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</si>
  <si>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</si>
  <si>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</si>
  <si>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</si>
  <si>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</si>
  <si>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</si>
  <si>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</si>
  <si>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</si>
  <si>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</si>
  <si>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</si>
  <si>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</si>
  <si>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</si>
  <si>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</si>
  <si>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</si>
  <si>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</si>
  <si>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</si>
  <si>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</si>
  <si>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</si>
  <si>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</si>
  <si>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</si>
  <si>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</si>
  <si>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</si>
  <si>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</si>
  <si>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</si>
  <si>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</si>
  <si>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</si>
  <si>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</si>
  <si>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</si>
  <si>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</si>
  <si>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</si>
  <si>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</si>
  <si>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</si>
  <si>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</si>
  <si>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</si>
  <si>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</si>
  <si>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</si>
  <si>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</si>
  <si>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</si>
  <si>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</si>
  <si>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</si>
  <si>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</si>
  <si>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</si>
  <si>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</si>
  <si>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</si>
  <si>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</si>
  <si>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</si>
  <si>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</si>
  <si>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</si>
  <si>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</si>
  <si>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</si>
  <si>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</si>
  <si>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</si>
  <si>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</si>
  <si>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</si>
  <si>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</si>
  <si>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</si>
  <si>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</si>
  <si>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</si>
  <si>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</si>
  <si>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</si>
  <si>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</si>
  <si>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</si>
  <si>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</si>
  <si>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</si>
  <si>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</si>
  <si>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</si>
  <si>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</si>
  <si>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</si>
  <si>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</si>
  <si>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</si>
  <si>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</si>
  <si>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</si>
  <si>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</si>
  <si>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</si>
  <si>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</si>
  <si>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</si>
  <si>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</si>
  <si>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</si>
  <si>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</si>
  <si>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</si>
  <si>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</si>
  <si>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</si>
  <si>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</si>
  <si>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</si>
  <si>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</si>
  <si>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</si>
  <si>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</si>
  <si>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</si>
  <si>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</si>
  <si>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</si>
  <si>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</si>
  <si>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</si>
  <si>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</si>
  <si>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</si>
  <si>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</si>
  <si>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</si>
  <si>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</si>
  <si>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</si>
  <si>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</si>
  <si>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</si>
  <si>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</si>
  <si>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</si>
  <si>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</si>
  <si>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</si>
  <si>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</si>
  <si>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</si>
  <si>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</si>
  <si>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</si>
  <si>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</si>
  <si>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</si>
  <si>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</si>
  <si>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</si>
  <si>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</si>
  <si>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</si>
  <si>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</si>
  <si>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</si>
  <si>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</si>
  <si>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</si>
  <si>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</si>
  <si>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</si>
  <si>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</si>
  <si>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</si>
  <si>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</si>
  <si>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</si>
  <si>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</si>
  <si>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</si>
  <si>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</si>
  <si>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</si>
  <si>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</si>
  <si>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</si>
  <si>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</si>
  <si>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</si>
  <si>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</si>
  <si>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</si>
  <si>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</si>
  <si>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</si>
  <si>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</si>
  <si>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</si>
  <si>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</si>
  <si>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</si>
  <si>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</si>
  <si>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</si>
  <si>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</si>
  <si>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</si>
  <si>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</si>
  <si>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</si>
  <si>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</si>
  <si>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</si>
  <si>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</si>
  <si>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</si>
  <si>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</si>
  <si>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</si>
  <si>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</si>
  <si>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</si>
  <si>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</si>
  <si>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</si>
  <si>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</si>
  <si>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</si>
  <si>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</si>
  <si>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</si>
  <si>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</si>
  <si>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</si>
  <si>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</si>
  <si>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</si>
  <si>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</si>
  <si>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</si>
  <si>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</si>
  <si>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</si>
  <si>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</si>
  <si>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</si>
  <si>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</si>
  <si>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</si>
  <si>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</si>
  <si>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</si>
  <si>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</si>
  <si>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</si>
  <si>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</si>
  <si>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</si>
  <si>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</si>
  <si>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</si>
  <si>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</si>
  <si>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</si>
  <si>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</si>
  <si>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</si>
  <si>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</si>
  <si>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</si>
  <si>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</si>
  <si>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</si>
  <si>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</si>
  <si>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</si>
  <si>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</si>
  <si>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</si>
  <si>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</si>
  <si>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</si>
  <si>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</si>
  <si>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</si>
  <si>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</si>
  <si>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</si>
  <si>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</si>
  <si>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</si>
  <si>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</si>
  <si>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</si>
  <si>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</si>
  <si>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</si>
  <si>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</si>
  <si>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</si>
  <si>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</si>
  <si>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</si>
  <si>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</si>
  <si>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</si>
  <si>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</si>
  <si>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</si>
  <si>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</si>
  <si>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</si>
  <si>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</si>
  <si>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</si>
  <si>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</si>
  <si>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</si>
  <si>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</si>
  <si>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</si>
  <si>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</si>
  <si>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</si>
  <si>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</si>
  <si>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</si>
  <si>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</si>
  <si>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</si>
  <si>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</si>
  <si>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</si>
  <si>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</si>
  <si>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</si>
  <si>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</si>
  <si>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</si>
  <si>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</si>
  <si>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</si>
  <si>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</si>
  <si>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</si>
  <si>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</si>
  <si>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</si>
  <si>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</si>
  <si>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</si>
  <si>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</si>
  <si>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</si>
  <si>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</si>
  <si>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</si>
  <si>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</si>
  <si>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</si>
  <si>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</si>
  <si>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</si>
  <si>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</si>
  <si>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</si>
  <si>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</si>
  <si>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</si>
  <si>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</si>
  <si>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</si>
  <si>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</si>
  <si>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</si>
  <si>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</si>
  <si>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</si>
  <si>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</si>
  <si>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</si>
  <si>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</si>
  <si>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</si>
  <si>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</si>
  <si>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</si>
  <si>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</si>
  <si>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</si>
  <si>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</si>
  <si>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</si>
  <si>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</si>
  <si>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</si>
  <si>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</si>
  <si>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</si>
  <si>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</si>
  <si>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</si>
  <si>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</si>
  <si>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</si>
  <si>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</si>
  <si>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</si>
  <si>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</si>
  <si>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</si>
  <si>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</si>
  <si>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</si>
  <si>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</si>
  <si>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</si>
  <si>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</si>
  <si>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</si>
  <si>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</si>
  <si>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</si>
  <si>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</si>
  <si>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</si>
  <si>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</si>
  <si>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</si>
  <si>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</si>
  <si>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</si>
  <si>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</si>
  <si>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</si>
  <si>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</si>
  <si>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</si>
  <si>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</si>
  <si>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</si>
  <si>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</si>
  <si>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</si>
  <si>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</si>
  <si>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</si>
  <si>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</si>
  <si>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</si>
  <si>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</si>
  <si>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</si>
  <si>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</si>
  <si>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</si>
  <si>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</si>
  <si>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</si>
  <si>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</si>
  <si>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</si>
  <si>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</si>
  <si>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</si>
  <si>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</si>
  <si>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</si>
  <si>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</si>
  <si>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</si>
  <si>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</si>
  <si>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</si>
  <si>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</si>
  <si>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</si>
  <si>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</si>
  <si>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</si>
  <si>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</si>
  <si>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</si>
  <si>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</si>
  <si>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</si>
  <si>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</si>
  <si>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</si>
  <si>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</si>
  <si>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</si>
  <si>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</si>
  <si>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</si>
  <si>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</si>
  <si>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</si>
  <si>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</si>
  <si>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</si>
  <si>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</si>
  <si>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</si>
  <si>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</si>
  <si>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</si>
  <si>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</si>
  <si>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</si>
  <si>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</si>
  <si>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</si>
  <si>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</si>
  <si>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</si>
  <si>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</si>
  <si>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</si>
  <si>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</si>
  <si>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</si>
  <si>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</si>
  <si>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</si>
  <si>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</si>
  <si>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</si>
  <si>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</si>
  <si>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</si>
  <si>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</si>
  <si>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</si>
  <si>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</si>
  <si>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</si>
  <si>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</si>
  <si>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</si>
  <si>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</si>
  <si>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</si>
  <si>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</si>
  <si>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</si>
  <si>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</si>
  <si>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</si>
  <si>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</si>
  <si>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</si>
  <si>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</si>
  <si>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</si>
  <si>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</si>
  <si>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</si>
  <si>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</si>
  <si>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</si>
  <si>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</si>
  <si>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</si>
  <si>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</si>
  <si>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</si>
  <si>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</si>
  <si>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</si>
  <si>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</si>
  <si>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</si>
  <si>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</si>
  <si>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</si>
  <si>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</si>
  <si>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</si>
  <si>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</si>
  <si>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</si>
  <si>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</si>
  <si>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</si>
  <si>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</si>
  <si>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</si>
  <si>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</si>
  <si>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</si>
  <si>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</si>
  <si>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</si>
  <si>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</si>
  <si>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</si>
  <si>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</si>
  <si>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</si>
  <si>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</si>
  <si>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</si>
  <si>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</si>
  <si>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</si>
  <si>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</si>
  <si>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</si>
  <si>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</si>
  <si>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</si>
  <si>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</si>
  <si>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</si>
  <si>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</si>
  <si>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</si>
  <si>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</si>
  <si>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</si>
  <si>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</si>
  <si>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</si>
  <si>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</si>
  <si>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</si>
  <si>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</si>
  <si>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</si>
  <si>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</si>
  <si>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</si>
  <si>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</si>
  <si>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</si>
  <si>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</si>
  <si>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</si>
  <si>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</si>
  <si>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</si>
  <si>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</si>
  <si>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</si>
  <si>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</si>
  <si>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</si>
  <si>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</si>
  <si>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</si>
  <si>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</si>
  <si>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</si>
  <si>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</si>
  <si>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</si>
  <si>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</si>
  <si>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</si>
  <si>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</si>
  <si>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</si>
  <si>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</si>
  <si>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</si>
  <si>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</si>
  <si>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</si>
  <si>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</si>
  <si>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</si>
  <si>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</si>
  <si>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</si>
  <si>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</si>
  <si>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</si>
  <si>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</si>
  <si>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</si>
  <si>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</si>
  <si>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</si>
  <si>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</si>
  <si>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</si>
  <si>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</si>
  <si>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</si>
  <si>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</si>
  <si>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</si>
  <si>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</si>
  <si>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</si>
  <si>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</si>
  <si>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</si>
  <si>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</si>
  <si>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</si>
  <si>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</si>
  <si>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</si>
  <si>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</si>
  <si>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</si>
  <si>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</si>
  <si>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</si>
  <si>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</si>
  <si>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</si>
  <si>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</si>
  <si>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</si>
  <si>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</si>
  <si>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</si>
  <si>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</si>
  <si>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</si>
  <si>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</si>
  <si>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</si>
  <si>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</si>
  <si>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</si>
  <si>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</si>
  <si>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</si>
  <si>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</si>
  <si>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</si>
  <si>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</si>
  <si>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</si>
  <si>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</si>
  <si>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</si>
  <si>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</si>
  <si>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</si>
  <si>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</si>
  <si>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</si>
  <si>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</si>
  <si>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</si>
  <si>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</si>
  <si>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</si>
  <si>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</si>
  <si>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</si>
  <si>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</si>
  <si>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</si>
  <si>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</si>
  <si>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</si>
  <si>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</si>
  <si>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</si>
  <si>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</si>
  <si>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</si>
  <si>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</si>
  <si>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</si>
  <si>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</si>
  <si>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</si>
  <si>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</si>
  <si>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</si>
  <si>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</si>
  <si>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</si>
  <si>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</si>
  <si>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</si>
  <si>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</si>
  <si>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</si>
  <si>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</si>
  <si>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</si>
  <si>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</si>
  <si>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</si>
  <si>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</si>
  <si>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</si>
  <si>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</si>
  <si>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</si>
  <si>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</si>
  <si>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</si>
  <si>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</si>
  <si>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</si>
  <si>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</si>
  <si>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</si>
  <si>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</si>
  <si>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</si>
  <si>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</si>
  <si>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</si>
  <si>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</si>
  <si>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</si>
  <si>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</si>
  <si>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</si>
  <si>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</si>
  <si>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</si>
  <si>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</si>
  <si>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</si>
  <si>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</si>
  <si>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</si>
  <si>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</si>
  <si>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</si>
  <si>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</si>
  <si>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</si>
  <si>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</si>
  <si>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</si>
  <si>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</si>
  <si>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</si>
  <si>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</si>
  <si>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</si>
  <si>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</si>
  <si>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</si>
  <si>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</si>
  <si>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</si>
  <si>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</si>
  <si>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</si>
  <si>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</si>
  <si>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</si>
  <si>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</si>
  <si>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</si>
  <si>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</si>
  <si>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</si>
  <si>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</si>
  <si>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</si>
  <si>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</si>
  <si>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</si>
  <si>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</si>
  <si>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</si>
  <si>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</si>
  <si>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</si>
  <si>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</si>
  <si>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</si>
  <si>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</si>
  <si>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</si>
  <si>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</si>
  <si>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</si>
  <si>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</si>
  <si>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</si>
  <si>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</si>
  <si>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</si>
  <si>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</si>
  <si>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</si>
  <si>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</si>
  <si>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</si>
  <si>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</si>
  <si>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</si>
  <si>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</si>
  <si>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</si>
  <si>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</si>
  <si>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</si>
  <si>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</si>
  <si>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</si>
  <si>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</si>
  <si>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</si>
  <si>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</si>
  <si>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</si>
  <si>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</si>
  <si>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</si>
  <si>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</si>
  <si>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</si>
  <si>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</si>
  <si>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</si>
  <si>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</si>
  <si>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</si>
  <si>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</si>
  <si>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</si>
  <si>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</si>
  <si>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</si>
  <si>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</si>
  <si>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</si>
  <si>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</si>
  <si>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</si>
  <si>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</si>
  <si>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</si>
  <si>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</si>
  <si>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</si>
  <si>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</si>
  <si>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</si>
  <si>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</si>
  <si>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</si>
  <si>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</si>
  <si>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</si>
  <si>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</si>
  <si>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</si>
  <si>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</si>
  <si>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</si>
  <si>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</si>
  <si>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</si>
  <si>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</si>
  <si>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</si>
  <si>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</si>
  <si>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</si>
  <si>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</si>
  <si>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</si>
  <si>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</si>
  <si>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</si>
  <si>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</si>
  <si>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</si>
  <si>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</si>
  <si>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</si>
  <si>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</si>
  <si>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</si>
  <si>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</si>
  <si>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</si>
  <si>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</si>
  <si>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</si>
  <si>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</si>
  <si>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</si>
  <si>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</si>
  <si>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</si>
  <si>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</si>
  <si>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</si>
  <si>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</si>
  <si>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</si>
  <si>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</si>
  <si>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</si>
  <si>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</si>
  <si>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</si>
  <si>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</si>
  <si>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</si>
  <si>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</si>
  <si>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</si>
  <si>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</si>
  <si>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</si>
  <si>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</si>
  <si>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</si>
  <si>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</si>
  <si>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</si>
  <si>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</si>
  <si>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</si>
  <si>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</si>
  <si>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</si>
  <si>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</si>
  <si>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</si>
  <si>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</si>
  <si>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</si>
  <si>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</si>
  <si>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</si>
  <si>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</si>
  <si>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</si>
  <si>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</si>
  <si>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</si>
  <si>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</si>
  <si>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</si>
  <si>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</si>
  <si>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</si>
  <si>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</si>
  <si>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</si>
  <si>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</si>
  <si>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</si>
  <si>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</si>
  <si>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</si>
  <si>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</si>
  <si>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</si>
  <si>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</si>
  <si>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</si>
  <si>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</si>
  <si>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</si>
  <si>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</si>
  <si>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</si>
  <si>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</si>
  <si>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</si>
  <si>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</si>
  <si>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</si>
  <si>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</si>
  <si>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</si>
  <si>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</si>
  <si>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</si>
  <si>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</si>
  <si>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</si>
  <si>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</si>
  <si>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</si>
  <si>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</si>
  <si>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</si>
  <si>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</si>
  <si>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</si>
  <si>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</si>
  <si>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</si>
  <si>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</si>
  <si>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</si>
  <si>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</si>
  <si>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</si>
  <si>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</si>
  <si>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</si>
  <si>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</si>
  <si>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</si>
  <si>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</si>
  <si>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</si>
  <si>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</si>
  <si>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</si>
  <si>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</si>
  <si>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</si>
  <si>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</si>
  <si>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</si>
  <si>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</si>
  <si>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</si>
  <si>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</si>
  <si>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</si>
  <si>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</si>
  <si>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</si>
  <si>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</si>
  <si>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</si>
  <si>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</si>
  <si>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</si>
  <si>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</si>
  <si>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</si>
  <si>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</si>
  <si>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</si>
  <si>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</si>
  <si>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</si>
  <si>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</si>
  <si>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</si>
  <si>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</si>
  <si>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</si>
  <si>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</si>
  <si>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</si>
  <si>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</si>
  <si>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</si>
  <si>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</si>
  <si>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</si>
  <si>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</si>
  <si>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</si>
  <si>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</si>
  <si>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</si>
  <si>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</si>
  <si>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</si>
  <si>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</si>
  <si>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</si>
  <si>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</si>
  <si>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</si>
  <si>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</si>
  <si>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</si>
  <si>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</si>
  <si>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</si>
  <si>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</si>
  <si>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</si>
  <si>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</si>
  <si>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</si>
  <si>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</si>
  <si>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</si>
  <si>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</si>
  <si>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</si>
  <si>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</si>
  <si>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</si>
  <si>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</si>
  <si>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</si>
  <si>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</si>
  <si>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</si>
  <si>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</si>
  <si>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</si>
  <si>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</si>
  <si>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</si>
  <si>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</si>
  <si>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</si>
  <si>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</si>
  <si>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</si>
  <si>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</si>
  <si>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</si>
  <si>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</si>
  <si>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</si>
  <si>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</si>
  <si>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</si>
  <si>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</si>
  <si>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</si>
  <si>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</si>
  <si>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</si>
  <si>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</si>
  <si>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</si>
  <si>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</si>
  <si>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</si>
  <si>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</si>
  <si>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</si>
  <si>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</si>
  <si>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</si>
  <si>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</si>
  <si>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</si>
  <si>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</si>
  <si>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</si>
  <si>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</si>
  <si>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</si>
  <si>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</si>
  <si>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</si>
  <si>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</si>
  <si>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</si>
  <si>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</si>
  <si>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</si>
  <si>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</si>
  <si>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</si>
  <si>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</si>
  <si>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</si>
  <si>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</si>
  <si>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</si>
  <si>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</si>
  <si>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</si>
  <si>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</si>
  <si>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</si>
  <si>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</si>
  <si>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</si>
  <si>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</si>
  <si>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</si>
  <si>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</si>
  <si>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</si>
  <si>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</si>
  <si>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</si>
  <si>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</si>
  <si>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</si>
  <si>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</si>
  <si>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</si>
  <si>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</si>
  <si>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</si>
  <si>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</si>
  <si>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</si>
  <si>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</si>
  <si>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</si>
  <si>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</si>
  <si>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</si>
  <si>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</si>
  <si>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</si>
  <si>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</si>
  <si>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</si>
  <si>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</si>
  <si>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</si>
  <si>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</si>
  <si>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</si>
  <si>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</si>
  <si>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</si>
  <si>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</si>
  <si>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</si>
  <si>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</si>
  <si>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</si>
  <si>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</si>
  <si>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</si>
  <si>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</si>
  <si>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</si>
  <si>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</si>
  <si>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</si>
  <si>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</si>
  <si>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</si>
  <si>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</si>
  <si>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</si>
  <si>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</si>
  <si>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</si>
  <si>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</si>
  <si>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</si>
  <si>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</si>
  <si>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</si>
  <si>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</si>
  <si>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</si>
  <si>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</si>
  <si>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</si>
  <si>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</si>
  <si>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</si>
  <si>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</si>
  <si>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</si>
  <si>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</si>
  <si>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</si>
  <si>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</si>
  <si>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</si>
  <si>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</si>
  <si>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</si>
  <si>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</si>
  <si>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</si>
  <si>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</si>
  <si>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</si>
  <si>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</si>
  <si>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</si>
  <si>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</si>
  <si>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</si>
  <si>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</si>
  <si>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</si>
  <si>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</si>
  <si>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</si>
  <si>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</si>
  <si>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</si>
  <si>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</si>
  <si>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</si>
  <si>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</si>
  <si>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</si>
  <si>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</si>
  <si>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</si>
  <si>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</si>
  <si>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</si>
  <si>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</si>
  <si>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</si>
  <si>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</si>
  <si>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</si>
  <si>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</si>
  <si>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</si>
  <si>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</si>
  <si>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</si>
  <si>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</si>
  <si>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</si>
  <si>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</si>
  <si>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</si>
  <si>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</si>
  <si>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</si>
  <si>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</si>
  <si>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</si>
  <si>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</si>
  <si>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</si>
  <si>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</si>
  <si>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</si>
  <si>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</si>
  <si>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</si>
  <si>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</si>
  <si>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</si>
  <si>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</si>
  <si>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</si>
  <si>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</si>
  <si>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</si>
  <si>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</si>
  <si>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</si>
  <si>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</si>
  <si>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</si>
  <si>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</si>
  <si>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</si>
  <si>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</si>
  <si>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</si>
  <si>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</si>
  <si>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</si>
  <si>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</si>
  <si>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</si>
  <si>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</si>
  <si>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</si>
  <si>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</si>
  <si>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</si>
  <si>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</si>
  <si>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</si>
  <si>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</si>
  <si>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</si>
  <si>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</si>
  <si>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</si>
  <si>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</si>
  <si>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</si>
  <si>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</si>
  <si>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</si>
  <si>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</si>
  <si>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</si>
  <si>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</si>
  <si>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</si>
  <si>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</si>
  <si>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</si>
  <si>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</si>
  <si>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</si>
  <si>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</si>
  <si>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</si>
  <si>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</si>
  <si>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</si>
  <si>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</si>
  <si>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</si>
  <si>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</si>
  <si>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</si>
  <si>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</si>
  <si>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</si>
  <si>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</si>
  <si>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</si>
  <si>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</si>
  <si>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</si>
  <si>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</si>
  <si>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</si>
  <si>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</si>
  <si>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</si>
  <si>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</si>
  <si>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</si>
  <si>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</si>
  <si>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</si>
  <si>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</si>
  <si>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</si>
  <si>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</si>
  <si>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</si>
  <si>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</si>
  <si>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</si>
  <si>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</si>
  <si>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</si>
  <si>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</si>
  <si>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</si>
  <si>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</si>
  <si>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</si>
  <si>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</si>
  <si>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</si>
  <si>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</si>
  <si>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</si>
  <si>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</si>
  <si>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</si>
  <si>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</si>
  <si>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</si>
  <si>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</si>
  <si>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</si>
  <si>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</si>
  <si>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</si>
  <si>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</si>
  <si>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</si>
  <si>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</si>
  <si>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</si>
  <si>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</si>
  <si>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</si>
  <si>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</si>
  <si>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</si>
  <si>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</si>
  <si>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</si>
  <si>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</si>
  <si>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</si>
  <si>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</si>
  <si>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</si>
  <si>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</si>
  <si>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</si>
  <si>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</si>
  <si>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</si>
  <si>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</si>
  <si>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</si>
  <si>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</si>
  <si>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</si>
  <si>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</si>
  <si>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</si>
  <si>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</si>
  <si>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</si>
  <si>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</si>
  <si>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</si>
  <si>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</si>
  <si>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</si>
  <si>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</si>
  <si>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</si>
  <si>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</si>
  <si>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</si>
  <si>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</si>
  <si>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</si>
  <si>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</si>
  <si>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</si>
  <si>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</si>
  <si>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</si>
  <si>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</si>
  <si>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</si>
  <si>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</si>
  <si>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</si>
  <si>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</si>
  <si>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</si>
  <si>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</si>
  <si>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</si>
  <si>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</si>
  <si>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</si>
  <si>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</si>
  <si>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</si>
  <si>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</si>
  <si>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</si>
  <si>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</si>
  <si>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</si>
  <si>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</si>
  <si>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</si>
  <si>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</si>
  <si>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</si>
  <si>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</si>
  <si>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</si>
  <si>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</si>
  <si>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</si>
  <si>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</si>
  <si>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</si>
  <si>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</si>
  <si>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</si>
  <si>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</si>
  <si>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</si>
  <si>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</si>
  <si>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</si>
  <si>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</si>
  <si>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</si>
  <si>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</si>
  <si>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</si>
  <si>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</si>
  <si>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</si>
  <si>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</si>
  <si>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</si>
  <si>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</si>
  <si>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</si>
  <si>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</si>
  <si>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</si>
  <si>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</si>
  <si>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</si>
  <si>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</si>
  <si>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</si>
  <si>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</si>
  <si>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</si>
  <si>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</si>
  <si>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</si>
  <si>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</si>
  <si>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</si>
  <si>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</si>
  <si>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</si>
  <si>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</si>
  <si>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</si>
  <si>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</si>
  <si>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</si>
  <si>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</si>
  <si>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</si>
  <si>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</si>
  <si>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</si>
  <si>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</si>
  <si>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</si>
  <si>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</si>
  <si>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</si>
  <si>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</si>
  <si>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</si>
  <si>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</si>
  <si>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</si>
  <si>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</si>
  <si>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</si>
  <si>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</si>
  <si>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</si>
  <si>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</si>
  <si>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</si>
  <si>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</si>
  <si>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</si>
  <si>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</si>
  <si>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</si>
  <si>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</si>
  <si>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</si>
  <si>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</si>
  <si>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</si>
  <si>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</si>
  <si>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</si>
  <si>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</si>
  <si>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</si>
  <si>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</si>
  <si>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</si>
  <si>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</si>
  <si>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</si>
  <si>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</si>
  <si>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</si>
  <si>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</si>
  <si>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</si>
  <si>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</si>
  <si>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</si>
  <si>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</si>
  <si>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</si>
  <si>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</si>
  <si>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</si>
  <si>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</si>
  <si>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</si>
  <si>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</si>
  <si>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</si>
  <si>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</si>
  <si>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</si>
  <si>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</si>
  <si>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</si>
  <si>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</si>
  <si>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</si>
  <si>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</si>
  <si>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</si>
  <si>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</si>
  <si>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</si>
  <si>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</si>
  <si>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</si>
  <si>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</si>
  <si>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</si>
  <si>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</si>
  <si>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</si>
  <si>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</si>
  <si>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</si>
  <si>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</si>
  <si>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</si>
  <si>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</si>
  <si>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</si>
  <si>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</si>
  <si>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</si>
  <si>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</si>
  <si>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</si>
  <si>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</si>
  <si>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</si>
  <si>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</si>
  <si>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</si>
  <si>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</si>
  <si>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</si>
  <si>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</si>
  <si>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</si>
  <si>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</si>
  <si>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</si>
  <si>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</si>
  <si>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</si>
  <si>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</si>
  <si>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</si>
  <si>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</si>
  <si>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</si>
  <si>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</si>
  <si>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</si>
  <si>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</si>
  <si>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</si>
  <si>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</si>
  <si>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</si>
  <si>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</si>
  <si>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</si>
  <si>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</si>
  <si>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</si>
  <si>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</si>
  <si>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</si>
  <si>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</si>
  <si>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</si>
  <si>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</si>
  <si>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</si>
  <si>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</si>
  <si>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</si>
  <si>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</si>
  <si>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</si>
  <si>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</si>
  <si>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</si>
  <si>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</si>
  <si>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</si>
  <si>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</si>
  <si>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</si>
  <si>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</si>
  <si>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</si>
  <si>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</si>
  <si>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</si>
  <si>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</si>
  <si>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</si>
  <si>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</si>
  <si>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</si>
  <si>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</si>
  <si>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</si>
  <si>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</si>
  <si>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</si>
  <si>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</si>
  <si>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</si>
  <si>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</si>
  <si>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</si>
  <si>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</si>
  <si>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</si>
  <si>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</si>
  <si>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</si>
  <si>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</si>
  <si>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</si>
  <si>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</si>
  <si>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</si>
  <si>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</si>
  <si>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</si>
  <si>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</si>
  <si>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</si>
  <si>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</si>
  <si>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</si>
  <si>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</si>
  <si>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</si>
  <si>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</si>
  <si>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</si>
  <si>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</si>
  <si>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</si>
  <si>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</si>
  <si>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</si>
  <si>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</si>
  <si>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</si>
  <si>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</si>
  <si>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</si>
  <si>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</si>
  <si>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</si>
  <si>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</si>
  <si>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</si>
  <si>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</si>
  <si>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</si>
  <si>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</si>
  <si>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</si>
  <si>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</si>
  <si>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</si>
  <si>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</si>
  <si>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</si>
  <si>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</si>
  <si>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</si>
  <si>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</si>
  <si>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</si>
  <si>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</si>
  <si>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</si>
  <si>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</si>
  <si>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</si>
  <si>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</si>
  <si>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</si>
  <si>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</si>
  <si>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</si>
  <si>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</si>
  <si>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</si>
  <si>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</si>
  <si>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</si>
  <si>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</si>
  <si>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</si>
  <si>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</si>
  <si>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</si>
  <si>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</si>
  <si>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</si>
  <si>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</si>
  <si>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</si>
  <si>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</si>
  <si>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</si>
  <si>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</si>
  <si>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</si>
  <si>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</si>
  <si>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</si>
  <si>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</si>
  <si>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</si>
  <si>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</si>
  <si>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</si>
  <si>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</si>
  <si>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</si>
  <si>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</si>
  <si>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</si>
  <si>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</si>
  <si>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</si>
  <si>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</si>
  <si>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</si>
  <si>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</si>
  <si>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</si>
  <si>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</si>
  <si>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</si>
  <si>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</si>
  <si>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</si>
  <si>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</si>
  <si>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</si>
  <si>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</si>
  <si>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</si>
  <si>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</si>
  <si>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</si>
  <si>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</si>
  <si>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</si>
  <si>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</si>
  <si>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</si>
  <si>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</si>
  <si>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</si>
  <si>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</si>
  <si>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</si>
  <si>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</si>
  <si>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</si>
  <si>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</si>
  <si>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</si>
  <si>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</si>
  <si>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</si>
  <si>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</si>
  <si>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</si>
  <si>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</si>
  <si>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</si>
  <si>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</si>
  <si>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</si>
  <si>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</si>
  <si>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</si>
  <si>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</si>
  <si>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</si>
  <si>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</si>
  <si>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</si>
  <si>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</si>
  <si>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</si>
  <si>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</si>
  <si>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</si>
  <si>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</si>
  <si>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</si>
  <si>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</si>
  <si>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</si>
  <si>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</si>
  <si>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</si>
  <si>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</si>
  <si>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</si>
  <si>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</si>
  <si>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</si>
  <si>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</si>
  <si>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</si>
  <si>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</si>
  <si>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</si>
  <si>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</si>
  <si>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</si>
  <si>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</si>
  <si>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</si>
  <si>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</si>
  <si>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</si>
  <si>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</si>
  <si>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</si>
  <si>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</si>
  <si>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</si>
  <si>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</si>
  <si>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</si>
  <si>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</si>
  <si>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</si>
  <si>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</si>
  <si>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</si>
  <si>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</si>
  <si>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</si>
  <si>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</si>
  <si>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</si>
  <si>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</si>
  <si>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</si>
  <si>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</si>
  <si>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</si>
  <si>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</si>
  <si>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</si>
  <si>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</si>
  <si>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</si>
  <si>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</si>
  <si>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</si>
  <si>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</si>
  <si>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</si>
  <si>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</si>
  <si>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</si>
  <si>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</si>
  <si>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</si>
  <si>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</si>
  <si>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</si>
  <si>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</si>
  <si>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</si>
  <si>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</si>
  <si>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</si>
  <si>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</si>
  <si>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</si>
  <si>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</si>
  <si>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</si>
  <si>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</si>
  <si>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</si>
  <si>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</si>
  <si>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</si>
  <si>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</si>
  <si>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</si>
  <si>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</si>
  <si>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</si>
  <si>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</si>
  <si>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</si>
  <si>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</si>
  <si>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</si>
  <si>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</si>
  <si>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</si>
  <si>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</si>
  <si>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</si>
  <si>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</si>
  <si>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</si>
  <si>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</si>
  <si>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</si>
  <si>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</si>
  <si>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</si>
  <si>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</si>
  <si>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</si>
  <si>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</si>
  <si>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</si>
  <si>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</si>
  <si>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</si>
  <si>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</si>
  <si>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</si>
  <si>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</si>
  <si>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</si>
  <si>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</si>
  <si>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</si>
  <si>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</si>
  <si>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</si>
  <si>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</si>
  <si>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</si>
  <si>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</si>
  <si>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</si>
  <si>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</si>
  <si>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</si>
  <si>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</si>
  <si>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</si>
  <si>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</si>
  <si>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</si>
  <si>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</si>
  <si>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</si>
  <si>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</si>
  <si>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</si>
  <si>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</si>
  <si>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</si>
  <si>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</si>
  <si>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</si>
  <si>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</si>
  <si>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</si>
  <si>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</si>
  <si>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</si>
  <si>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</si>
  <si>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</si>
  <si>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</si>
  <si>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</si>
  <si>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</si>
  <si>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</si>
  <si>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</si>
  <si>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</si>
  <si>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</si>
  <si>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</si>
  <si>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</si>
  <si>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</si>
  <si>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</si>
  <si>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</si>
  <si>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</si>
  <si>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</si>
  <si>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</si>
  <si>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</si>
  <si>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</si>
  <si>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</si>
  <si>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</si>
  <si>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</si>
  <si>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</si>
  <si>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</si>
  <si>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</si>
  <si>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</si>
  <si>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</si>
  <si>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</si>
  <si>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</si>
  <si>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</si>
  <si>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</si>
  <si>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</si>
  <si>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</si>
  <si>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</si>
  <si>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</si>
  <si>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</si>
  <si>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</si>
  <si>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</si>
  <si>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</si>
  <si>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</si>
  <si>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</si>
  <si>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</si>
  <si>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</si>
  <si>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</si>
  <si>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</si>
  <si>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</si>
  <si>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</si>
  <si>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</si>
  <si>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</si>
  <si>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</si>
  <si>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</si>
  <si>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</si>
  <si>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</si>
  <si>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</si>
  <si>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</si>
  <si>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</si>
  <si>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</si>
  <si>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</si>
  <si>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</si>
  <si>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</si>
  <si>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</si>
  <si>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</si>
  <si>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</si>
  <si>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</si>
  <si>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</si>
  <si>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</si>
  <si>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</si>
  <si>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</si>
  <si>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</si>
  <si>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</si>
  <si>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</si>
  <si>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</si>
  <si>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</si>
  <si>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</si>
  <si>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</si>
  <si>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</si>
  <si>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</si>
  <si>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</si>
  <si>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</si>
  <si>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</si>
  <si>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</si>
  <si>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</si>
  <si>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</si>
  <si>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</si>
  <si>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</si>
  <si>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</si>
  <si>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</si>
  <si>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</si>
  <si>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</si>
  <si>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</si>
  <si>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</si>
  <si>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</si>
  <si>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</si>
  <si>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</si>
  <si>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</si>
  <si>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</si>
  <si>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</si>
  <si>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</si>
  <si>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</si>
  <si>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</si>
  <si>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</si>
  <si>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</si>
  <si>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</si>
  <si>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</si>
  <si>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</si>
  <si>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</si>
  <si>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</si>
  <si>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</si>
  <si>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</si>
  <si>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</si>
  <si>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</si>
  <si>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</si>
  <si>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</si>
  <si>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</si>
  <si>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</si>
  <si>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</si>
  <si>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</si>
  <si>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</si>
  <si>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</si>
  <si>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</si>
  <si>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</si>
  <si>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</si>
  <si>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</si>
  <si>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</si>
  <si>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</si>
  <si>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</si>
  <si>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</si>
  <si>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</si>
  <si>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</si>
  <si>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</si>
  <si>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</si>
  <si>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</si>
  <si>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</si>
  <si>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</si>
  <si>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</si>
  <si>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</si>
  <si>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</si>
  <si>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</si>
  <si>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</si>
  <si>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</si>
  <si>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</si>
  <si>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</si>
  <si>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</si>
  <si>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</si>
  <si>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</si>
  <si>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</si>
  <si>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</si>
  <si>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</si>
  <si>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</si>
  <si>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</si>
  <si>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</si>
  <si>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</si>
  <si>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</si>
  <si>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</si>
  <si>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</si>
  <si>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</si>
  <si>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</si>
  <si>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</si>
  <si>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</si>
  <si>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</si>
  <si>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</si>
  <si>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</si>
  <si>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</si>
  <si>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</si>
  <si>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</si>
  <si>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</si>
  <si>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</si>
  <si>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</si>
  <si>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</si>
  <si>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</si>
  <si>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</si>
  <si>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</si>
  <si>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</si>
  <si>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</si>
  <si>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</si>
  <si>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</si>
  <si>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</si>
  <si>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</si>
  <si>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</si>
  <si>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</si>
  <si>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</si>
  <si>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</si>
  <si>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</si>
  <si>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</si>
  <si>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</si>
  <si>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</si>
  <si>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</si>
  <si>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</si>
  <si>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</si>
  <si>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</si>
  <si>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</si>
  <si>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</si>
  <si>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</si>
  <si>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</si>
  <si>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</si>
  <si>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</si>
  <si>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</si>
  <si>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</si>
  <si>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</si>
  <si>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</si>
  <si>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</si>
  <si>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</si>
  <si>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</si>
  <si>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</si>
  <si>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</si>
  <si>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</si>
  <si>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</si>
  <si>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</si>
  <si>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</si>
  <si>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</si>
  <si>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</si>
  <si>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</si>
  <si>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</si>
  <si>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</si>
  <si>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</si>
  <si>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</si>
  <si>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</si>
  <si>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</si>
  <si>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</si>
  <si>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</si>
  <si>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</si>
  <si>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</si>
  <si>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</si>
  <si>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</si>
  <si>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</si>
  <si>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</si>
  <si>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</si>
  <si>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</si>
  <si>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</si>
  <si>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</si>
  <si>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</si>
  <si>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</si>
  <si>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</si>
  <si>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</si>
  <si>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</si>
  <si>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</si>
  <si>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</si>
  <si>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</si>
  <si>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</si>
  <si>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</si>
  <si>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</si>
  <si>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</si>
  <si>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</si>
  <si>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</si>
  <si>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</si>
  <si>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</si>
  <si>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</si>
  <si>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</si>
  <si>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</si>
  <si>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</si>
  <si>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</si>
  <si>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</si>
  <si>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</si>
  <si>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</si>
  <si>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</si>
  <si>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</si>
  <si>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</si>
  <si>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</si>
  <si>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</si>
  <si>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</si>
  <si>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</si>
  <si>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</si>
  <si>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</si>
  <si>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</si>
  <si>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</si>
  <si>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</si>
  <si>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</si>
  <si>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</si>
  <si>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</si>
  <si>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</si>
  <si>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</si>
  <si>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</si>
  <si>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</si>
  <si>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</si>
  <si>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</si>
  <si>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</si>
  <si>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</si>
  <si>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</si>
  <si>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</si>
  <si>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</si>
  <si>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</si>
  <si>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</si>
  <si>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</si>
  <si>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</si>
  <si>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</si>
  <si>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</si>
  <si>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</si>
  <si>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</si>
  <si>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</si>
  <si>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</si>
  <si>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</si>
  <si>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</si>
  <si>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</si>
  <si>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</si>
  <si>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</si>
  <si>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</si>
  <si>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</si>
  <si>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</si>
  <si>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</si>
  <si>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</si>
  <si>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</si>
  <si>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</si>
  <si>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</si>
  <si>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</si>
  <si>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</si>
  <si>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</si>
  <si>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</si>
  <si>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</si>
  <si>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</si>
  <si>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</si>
  <si>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</si>
  <si>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</si>
  <si>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</si>
  <si>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</si>
  <si>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</si>
  <si>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</si>
  <si>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</si>
  <si>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</si>
  <si>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</si>
  <si>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</si>
  <si>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</si>
  <si>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</si>
  <si>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</si>
  <si>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</si>
  <si>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</si>
  <si>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</si>
  <si>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</si>
  <si>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</si>
  <si>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</si>
  <si>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</si>
  <si>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</si>
  <si>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</si>
  <si>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</si>
  <si>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</si>
  <si>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</si>
  <si>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</si>
  <si>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</si>
  <si>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</si>
  <si>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</si>
  <si>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</si>
  <si>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</si>
  <si>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</si>
  <si>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</si>
  <si>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</si>
  <si>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</si>
  <si>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</si>
  <si>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</si>
  <si>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</si>
  <si>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</si>
  <si>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</si>
  <si>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</si>
  <si>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</si>
  <si>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</si>
  <si>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</si>
  <si>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</si>
  <si>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</si>
  <si>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</si>
  <si>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</si>
  <si>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</si>
  <si>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</si>
  <si>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</si>
  <si>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</si>
  <si>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</si>
  <si>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</si>
  <si>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</si>
  <si>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</si>
  <si>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</si>
  <si>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</si>
  <si>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</si>
  <si>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</si>
  <si>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</si>
  <si>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</si>
  <si>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</si>
  <si>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</si>
  <si>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</si>
  <si>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</si>
  <si>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Total Revenue</t>
  </si>
  <si>
    <t>West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</si>
</sst>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0" formatCode="&quot;₹&quot;\ #,##0.00"/>
  </numFmts>
  <fonts count="18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sz val="8"/>
      <color rgb="FFD7BA7D"/>
      <name val="Consolas"/>
      <family val="3"/>
    </font>
    <font>
      <b/>
      <sz val="10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15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10" fontId="16" fillId="4" borderId="1" xfId="0" applyNumberFormat="1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170" fontId="8" fillId="4" borderId="1" xfId="0" applyNumberFormat="1" applyFont="1" applyFill="1" applyBorder="1" applyAlignment="1">
      <alignment horizontal="center" vertical="center"/>
    </xf>
    <xf numFmtId="170" fontId="8" fillId="4" borderId="2" xfId="0" applyNumberFormat="1" applyFont="1" applyFill="1" applyBorder="1" applyAlignment="1">
      <alignment horizontal="center" vertical="center"/>
    </xf>
    <xf numFmtId="49" fontId="15" fillId="0" borderId="0" xfId="0" applyNumberFormat="1" applyFont="1"/>
    <xf numFmtId="49" fontId="16" fillId="4" borderId="2" xfId="0" applyNumberFormat="1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3004</v>
      </c>
    </row>
    <row r="2" spans="1:8" ht="16.8" x14ac:dyDescent="0.3">
      <c r="A2" s="2" t="s">
        <v>3005</v>
      </c>
    </row>
    <row r="3" spans="1:8" x14ac:dyDescent="0.3">
      <c r="A3" s="3" t="s">
        <v>3006</v>
      </c>
    </row>
    <row r="5" spans="1:8" ht="15.6" x14ac:dyDescent="0.3">
      <c r="A5" s="37" t="s">
        <v>0</v>
      </c>
      <c r="B5" s="34"/>
      <c r="C5" s="34"/>
      <c r="D5" s="34"/>
      <c r="E5" s="34"/>
      <c r="F5" s="34"/>
    </row>
    <row r="6" spans="1:8" x14ac:dyDescent="0.3">
      <c r="A6" s="36" t="s">
        <v>1</v>
      </c>
      <c r="B6" s="34"/>
      <c r="C6" s="34"/>
      <c r="D6" s="34"/>
      <c r="E6" s="34"/>
      <c r="F6" s="34"/>
      <c r="G6" s="34"/>
      <c r="H6" s="34"/>
    </row>
    <row r="7" spans="1:8" x14ac:dyDescent="0.3">
      <c r="A7" s="36" t="s">
        <v>3007</v>
      </c>
      <c r="B7" s="34"/>
      <c r="C7" s="34"/>
      <c r="D7" s="34"/>
      <c r="E7" s="34"/>
      <c r="F7" s="34"/>
      <c r="G7" s="34"/>
      <c r="H7" s="34"/>
    </row>
    <row r="8" spans="1:8" x14ac:dyDescent="0.3">
      <c r="A8" s="36" t="s">
        <v>2</v>
      </c>
      <c r="B8" s="34"/>
      <c r="C8" s="34"/>
      <c r="D8" s="34"/>
      <c r="E8" s="34"/>
      <c r="F8" s="34"/>
      <c r="G8" s="34"/>
      <c r="H8" s="34"/>
    </row>
    <row r="9" spans="1:8" x14ac:dyDescent="0.3">
      <c r="A9" s="36"/>
      <c r="B9" s="34"/>
      <c r="C9" s="34"/>
      <c r="D9" s="34"/>
      <c r="E9" s="34"/>
      <c r="F9" s="34"/>
      <c r="G9" s="34"/>
      <c r="H9" s="34"/>
    </row>
    <row r="10" spans="1:8" x14ac:dyDescent="0.3">
      <c r="A10" s="36" t="s">
        <v>3</v>
      </c>
      <c r="B10" s="34"/>
      <c r="C10" s="34"/>
      <c r="D10" s="34"/>
      <c r="E10" s="34"/>
      <c r="F10" s="34"/>
      <c r="G10" s="34"/>
      <c r="H10" s="34"/>
    </row>
    <row r="11" spans="1:8" x14ac:dyDescent="0.3">
      <c r="A11" s="36" t="s">
        <v>3008</v>
      </c>
      <c r="B11" s="34"/>
      <c r="C11" s="34"/>
      <c r="D11" s="34"/>
      <c r="E11" s="34"/>
      <c r="F11" s="34"/>
      <c r="G11" s="34"/>
      <c r="H11" s="34"/>
    </row>
    <row r="12" spans="1:8" x14ac:dyDescent="0.3">
      <c r="A12" s="36" t="s">
        <v>4</v>
      </c>
      <c r="B12" s="34"/>
      <c r="C12" s="34"/>
      <c r="D12" s="34"/>
      <c r="E12" s="34"/>
      <c r="F12" s="34"/>
      <c r="G12" s="34"/>
      <c r="H12" s="34"/>
    </row>
    <row r="14" spans="1:8" ht="15.6" x14ac:dyDescent="0.3">
      <c r="A14" s="4" t="s">
        <v>5</v>
      </c>
    </row>
    <row r="15" spans="1:8" x14ac:dyDescent="0.3">
      <c r="A15" s="36" t="s">
        <v>6</v>
      </c>
      <c r="B15" s="34"/>
      <c r="C15" s="34"/>
      <c r="D15" s="34"/>
      <c r="E15" s="34"/>
      <c r="F15" s="34"/>
      <c r="G15" s="34"/>
      <c r="H15" s="34"/>
    </row>
    <row r="16" spans="1:8" x14ac:dyDescent="0.3">
      <c r="A16" s="36" t="s">
        <v>7</v>
      </c>
      <c r="B16" s="34"/>
      <c r="C16" s="34"/>
      <c r="D16" s="34"/>
      <c r="E16" s="34"/>
      <c r="F16" s="34"/>
      <c r="G16" s="34"/>
      <c r="H16" s="34"/>
    </row>
    <row r="17" spans="1:8" x14ac:dyDescent="0.3">
      <c r="A17" s="36" t="s">
        <v>8</v>
      </c>
      <c r="B17" s="34"/>
      <c r="C17" s="34"/>
      <c r="D17" s="34"/>
      <c r="E17" s="34"/>
      <c r="F17" s="34"/>
      <c r="G17" s="34"/>
      <c r="H17" s="34"/>
    </row>
    <row r="18" spans="1:8" x14ac:dyDescent="0.3">
      <c r="A18" s="36" t="s">
        <v>3009</v>
      </c>
      <c r="B18" s="34"/>
      <c r="C18" s="34"/>
      <c r="D18" s="34"/>
      <c r="E18" s="34"/>
      <c r="F18" s="34"/>
      <c r="G18" s="34"/>
      <c r="H18" s="34"/>
    </row>
    <row r="19" spans="1:8" x14ac:dyDescent="0.3">
      <c r="A19" s="36" t="s">
        <v>9</v>
      </c>
      <c r="B19" s="34"/>
      <c r="C19" s="34"/>
      <c r="D19" s="34"/>
      <c r="E19" s="34"/>
      <c r="F19" s="34"/>
      <c r="G19" s="34"/>
      <c r="H19" s="34"/>
    </row>
    <row r="20" spans="1:8" x14ac:dyDescent="0.3">
      <c r="A20" s="36" t="s">
        <v>3010</v>
      </c>
      <c r="B20" s="34"/>
      <c r="C20" s="34"/>
      <c r="D20" s="34"/>
      <c r="E20" s="34"/>
      <c r="F20" s="34"/>
      <c r="G20" s="34"/>
      <c r="H20" s="34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3011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3012</v>
      </c>
    </row>
    <row r="37" spans="1:4" x14ac:dyDescent="0.3">
      <c r="A37" s="7" t="s">
        <v>44</v>
      </c>
      <c r="B37" s="7" t="s">
        <v>45</v>
      </c>
      <c r="C37" s="8" t="s">
        <v>3013</v>
      </c>
    </row>
    <row r="38" spans="1:4" x14ac:dyDescent="0.3">
      <c r="A38" s="7" t="s">
        <v>46</v>
      </c>
      <c r="B38" s="7" t="s">
        <v>47</v>
      </c>
      <c r="C38" s="8" t="s">
        <v>3014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N2001"/>
  <sheetViews>
    <sheetView workbookViewId="0">
      <pane ySplit="1" topLeftCell="A2" activePane="bottomLeft" state="frozen"/>
      <selection pane="bottomLeft" activeCell="O2" sqref="O2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4" x14ac:dyDescent="0.3">
      <c r="A1" s="42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t="s">
        <v>2780</v>
      </c>
      <c r="M1" s="44" t="s">
        <v>2851</v>
      </c>
      <c r="N1" s="43" t="s">
        <v>2781</v>
      </c>
    </row>
    <row r="2" spans="1:14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 t="str">
        <f>VLOOKUP(D2, Products!$A$2:$F$61, 3, FALSE)</f>
        <v>Apparel</v>
      </c>
      <c r="M2" t="str">
        <f>VLOOKUP(E2, Sales_Reps!$A$2:$E$31, 3, FALSE)</f>
        <v>North</v>
      </c>
      <c r="N2">
        <f>VLOOKUP(D2, Products!$A$2:$F$61, 4, FALSE)</f>
        <v>2509</v>
      </c>
    </row>
    <row r="3" spans="1:14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 t="str">
        <f>VLOOKUP(D3, Products!$A$2:$F$61, 3, FALSE)</f>
        <v>Apparel</v>
      </c>
      <c r="M3" t="str">
        <f>VLOOKUP(E2, Sales_Reps!$A$2:$E$31, 3, FALSE)</f>
        <v>North</v>
      </c>
      <c r="N3">
        <f>VLOOKUP(D3, Products!$A$2:$F$61, 4, FALSE)</f>
        <v>391</v>
      </c>
    </row>
    <row r="4" spans="1:14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 t="str">
        <f>VLOOKUP(D4, Products!$A$2:$F$61, 3, FALSE)</f>
        <v>Sports</v>
      </c>
      <c r="M4" t="str">
        <f>VLOOKUP(E2, Sales_Reps!$A$2:$E$31, 3, FALSE)</f>
        <v>North</v>
      </c>
      <c r="N4">
        <f>VLOOKUP(D4, Products!$A$2:$F$61, 4, FALSE)</f>
        <v>302</v>
      </c>
    </row>
    <row r="5" spans="1:14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 t="str">
        <f>VLOOKUP(D5, Products!$A$2:$F$61, 3, FALSE)</f>
        <v>Grocery</v>
      </c>
      <c r="M5" t="str">
        <f>VLOOKUP(E2, Sales_Reps!$A$2:$E$31, 3, FALSE)</f>
        <v>North</v>
      </c>
      <c r="N5">
        <f>VLOOKUP(D5, Products!$A$2:$F$61, 4, FALSE)</f>
        <v>2214</v>
      </c>
    </row>
    <row r="6" spans="1:14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 t="str">
        <f>VLOOKUP(D6, Products!$A$2:$F$61, 3, FALSE)</f>
        <v>Apparel</v>
      </c>
      <c r="M6" t="str">
        <f>VLOOKUP(E2, Sales_Reps!$A$2:$E$31, 3, FALSE)</f>
        <v>North</v>
      </c>
      <c r="N6">
        <f>VLOOKUP(D6, Products!$A$2:$F$61, 4, FALSE)</f>
        <v>1886</v>
      </c>
    </row>
    <row r="7" spans="1:14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 t="str">
        <f>VLOOKUP(D7, Products!$A$2:$F$61, 3, FALSE)</f>
        <v>Home</v>
      </c>
      <c r="M7" t="str">
        <f>VLOOKUP(E3, Sales_Reps!$A$2:$E$31, 3, FALSE)</f>
        <v>North</v>
      </c>
      <c r="N7">
        <f>VLOOKUP(D7, Products!$A$2:$F$61, 4, FALSE)</f>
        <v>288</v>
      </c>
    </row>
    <row r="8" spans="1:14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 t="str">
        <f>VLOOKUP(D8, Products!$A$2:$F$61, 3, FALSE)</f>
        <v>Sports</v>
      </c>
      <c r="M8" t="str">
        <f>VLOOKUP(E4, Sales_Reps!$A$2:$E$31, 3, FALSE)</f>
        <v>South</v>
      </c>
      <c r="N8">
        <f>VLOOKUP(D8, Products!$A$2:$F$61, 4, FALSE)</f>
        <v>705</v>
      </c>
    </row>
    <row r="9" spans="1:14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 t="str">
        <f>VLOOKUP(D9, Products!$A$2:$F$61, 3, FALSE)</f>
        <v>Electronics</v>
      </c>
      <c r="M9" t="str">
        <f>VLOOKUP(E5, Sales_Reps!$A$2:$E$31, 3, FALSE)</f>
        <v>North</v>
      </c>
      <c r="N9">
        <f>VLOOKUP(D9, Products!$A$2:$F$61, 4, FALSE)</f>
        <v>861</v>
      </c>
    </row>
    <row r="10" spans="1:14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 t="str">
        <f>VLOOKUP(D10, Products!$A$2:$F$61, 3, FALSE)</f>
        <v>Home</v>
      </c>
      <c r="M10" t="str">
        <f>VLOOKUP(E6, Sales_Reps!$A$2:$E$31, 3, FALSE)</f>
        <v>North</v>
      </c>
      <c r="N10">
        <f>VLOOKUP(D10, Products!$A$2:$F$61, 4, FALSE)</f>
        <v>2549</v>
      </c>
    </row>
    <row r="11" spans="1:14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 t="str">
        <f>VLOOKUP(D11, Products!$A$2:$F$61, 3, FALSE)</f>
        <v>Grocery</v>
      </c>
      <c r="M11" t="str">
        <f>VLOOKUP(E7, Sales_Reps!$A$2:$E$31, 3, FALSE)</f>
        <v>West</v>
      </c>
      <c r="N11">
        <f>VLOOKUP(D11, Products!$A$2:$F$61, 4, FALSE)</f>
        <v>434</v>
      </c>
    </row>
    <row r="12" spans="1:14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 t="str">
        <f>VLOOKUP(D12, Products!$A$2:$F$61, 3, FALSE)</f>
        <v>Grocery</v>
      </c>
      <c r="M12" t="str">
        <f>VLOOKUP(E8, Sales_Reps!$A$2:$E$31, 3, FALSE)</f>
        <v>West</v>
      </c>
      <c r="N12">
        <f>VLOOKUP(D12, Products!$A$2:$F$61, 4, FALSE)</f>
        <v>1203</v>
      </c>
    </row>
    <row r="13" spans="1:14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 t="str">
        <f>VLOOKUP(D13, Products!$A$2:$F$61, 3, FALSE)</f>
        <v>Electronics</v>
      </c>
      <c r="M13" t="str">
        <f>VLOOKUP(E9, Sales_Reps!$A$2:$E$31, 3, FALSE)</f>
        <v>East</v>
      </c>
      <c r="N13">
        <f>VLOOKUP(D13, Products!$A$2:$F$61, 4, FALSE)</f>
        <v>1149</v>
      </c>
    </row>
    <row r="14" spans="1:14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 t="str">
        <f>VLOOKUP(D14, Products!$A$2:$F$61, 3, FALSE)</f>
        <v>Electronics</v>
      </c>
      <c r="M14" t="str">
        <f>VLOOKUP(E10, Sales_Reps!$A$2:$E$31, 3, FALSE)</f>
        <v>North</v>
      </c>
      <c r="N14">
        <f>VLOOKUP(D14, Products!$A$2:$F$61, 4, FALSE)</f>
        <v>1052</v>
      </c>
    </row>
    <row r="15" spans="1:14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 t="str">
        <f>VLOOKUP(D15, Products!$A$2:$F$61, 3, FALSE)</f>
        <v>Home</v>
      </c>
      <c r="M15" t="str">
        <f>VLOOKUP(E11, Sales_Reps!$A$2:$E$31, 3, FALSE)</f>
        <v>West</v>
      </c>
      <c r="N15">
        <f>VLOOKUP(D15, Products!$A$2:$F$61, 4, FALSE)</f>
        <v>1556</v>
      </c>
    </row>
    <row r="16" spans="1:14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 t="str">
        <f>VLOOKUP(D16, Products!$A$2:$F$61, 3, FALSE)</f>
        <v>Sports</v>
      </c>
      <c r="M16" t="str">
        <f>VLOOKUP(E12, Sales_Reps!$A$2:$E$31, 3, FALSE)</f>
        <v>South</v>
      </c>
      <c r="N16">
        <f>VLOOKUP(D16, Products!$A$2:$F$61, 4, FALSE)</f>
        <v>147</v>
      </c>
    </row>
    <row r="17" spans="1:14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 t="str">
        <f>VLOOKUP(D17, Products!$A$2:$F$61, 3, FALSE)</f>
        <v>Sports</v>
      </c>
      <c r="M17" t="str">
        <f>VLOOKUP(E13, Sales_Reps!$A$2:$E$31, 3, FALSE)</f>
        <v>West</v>
      </c>
      <c r="N17">
        <f>VLOOKUP(D17, Products!$A$2:$F$61, 4, FALSE)</f>
        <v>974</v>
      </c>
    </row>
    <row r="18" spans="1:14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 t="str">
        <f>VLOOKUP(D18, Products!$A$2:$F$61, 3, FALSE)</f>
        <v>Grocery</v>
      </c>
      <c r="M18" t="str">
        <f>VLOOKUP(E14, Sales_Reps!$A$2:$E$31, 3, FALSE)</f>
        <v>North</v>
      </c>
      <c r="N18">
        <f>VLOOKUP(D18, Products!$A$2:$F$61, 4, FALSE)</f>
        <v>2214</v>
      </c>
    </row>
    <row r="19" spans="1:14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 t="str">
        <f>VLOOKUP(D19, Products!$A$2:$F$61, 3, FALSE)</f>
        <v>Beauty</v>
      </c>
      <c r="M19" t="str">
        <f>VLOOKUP(E15, Sales_Reps!$A$2:$E$31, 3, FALSE)</f>
        <v>West</v>
      </c>
      <c r="N19">
        <f>VLOOKUP(D19, Products!$A$2:$F$61, 4, FALSE)</f>
        <v>2420</v>
      </c>
    </row>
    <row r="20" spans="1:14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 t="str">
        <f>VLOOKUP(D20, Products!$A$2:$F$61, 3, FALSE)</f>
        <v>Sports</v>
      </c>
      <c r="M20" t="str">
        <f>VLOOKUP(E16, Sales_Reps!$A$2:$E$31, 3, FALSE)</f>
        <v>North</v>
      </c>
      <c r="N20">
        <f>VLOOKUP(D20, Products!$A$2:$F$61, 4, FALSE)</f>
        <v>2467</v>
      </c>
    </row>
    <row r="21" spans="1:14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 t="str">
        <f>VLOOKUP(D21, Products!$A$2:$F$61, 3, FALSE)</f>
        <v>Home</v>
      </c>
      <c r="M21" t="str">
        <f>VLOOKUP(E17, Sales_Reps!$A$2:$E$31, 3, FALSE)</f>
        <v>South</v>
      </c>
      <c r="N21">
        <f>VLOOKUP(D21, Products!$A$2:$F$61, 4, FALSE)</f>
        <v>519</v>
      </c>
    </row>
    <row r="22" spans="1:14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 t="str">
        <f>VLOOKUP(D22, Products!$A$2:$F$61, 3, FALSE)</f>
        <v>Apparel</v>
      </c>
      <c r="M22" t="str">
        <f>VLOOKUP(E18, Sales_Reps!$A$2:$E$31, 3, FALSE)</f>
        <v>East</v>
      </c>
      <c r="N22">
        <f>VLOOKUP(D22, Products!$A$2:$F$61, 4, FALSE)</f>
        <v>1173</v>
      </c>
    </row>
    <row r="23" spans="1:14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 t="str">
        <f>VLOOKUP(D23, Products!$A$2:$F$61, 3, FALSE)</f>
        <v>Home</v>
      </c>
      <c r="M23" t="str">
        <f>VLOOKUP(E19, Sales_Reps!$A$2:$E$31, 3, FALSE)</f>
        <v>East</v>
      </c>
      <c r="N23">
        <f>VLOOKUP(D23, Products!$A$2:$F$61, 4, FALSE)</f>
        <v>1556</v>
      </c>
    </row>
    <row r="24" spans="1:14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 t="str">
        <f>VLOOKUP(D24, Products!$A$2:$F$61, 3, FALSE)</f>
        <v>Apparel</v>
      </c>
      <c r="M24" t="str">
        <f>VLOOKUP(E20, Sales_Reps!$A$2:$E$31, 3, FALSE)</f>
        <v>East</v>
      </c>
      <c r="N24">
        <f>VLOOKUP(D24, Products!$A$2:$F$61, 4, FALSE)</f>
        <v>1962</v>
      </c>
    </row>
    <row r="25" spans="1:14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 t="str">
        <f>VLOOKUP(D25, Products!$A$2:$F$61, 3, FALSE)</f>
        <v>Beauty</v>
      </c>
      <c r="M25" t="str">
        <f>VLOOKUP(E21, Sales_Reps!$A$2:$E$31, 3, FALSE)</f>
        <v>East</v>
      </c>
      <c r="N25">
        <f>VLOOKUP(D25, Products!$A$2:$F$61, 4, FALSE)</f>
        <v>1222</v>
      </c>
    </row>
    <row r="26" spans="1:14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 t="str">
        <f>VLOOKUP(D26, Products!$A$2:$F$61, 3, FALSE)</f>
        <v>Beauty</v>
      </c>
      <c r="M26" t="str">
        <f>VLOOKUP(E22, Sales_Reps!$A$2:$E$31, 3, FALSE)</f>
        <v>North</v>
      </c>
      <c r="N26">
        <f>VLOOKUP(D26, Products!$A$2:$F$61, 4, FALSE)</f>
        <v>1728</v>
      </c>
    </row>
    <row r="27" spans="1:14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 t="str">
        <f>VLOOKUP(D27, Products!$A$2:$F$61, 3, FALSE)</f>
        <v>Sports</v>
      </c>
      <c r="M27" t="str">
        <f>VLOOKUP(E23, Sales_Reps!$A$2:$E$31, 3, FALSE)</f>
        <v>West</v>
      </c>
      <c r="N27">
        <f>VLOOKUP(D27, Products!$A$2:$F$61, 4, FALSE)</f>
        <v>516</v>
      </c>
    </row>
    <row r="28" spans="1:14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 t="str">
        <f>VLOOKUP(D28, Products!$A$2:$F$61, 3, FALSE)</f>
        <v>Beauty</v>
      </c>
      <c r="M28" t="str">
        <f>VLOOKUP(E24, Sales_Reps!$A$2:$E$31, 3, FALSE)</f>
        <v>West</v>
      </c>
      <c r="N28">
        <f>VLOOKUP(D28, Products!$A$2:$F$61, 4, FALSE)</f>
        <v>2768</v>
      </c>
    </row>
    <row r="29" spans="1:14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 t="str">
        <f>VLOOKUP(D29, Products!$A$2:$F$61, 3, FALSE)</f>
        <v>Electronics</v>
      </c>
      <c r="M29" t="str">
        <f>VLOOKUP(E25, Sales_Reps!$A$2:$E$31, 3, FALSE)</f>
        <v>North</v>
      </c>
      <c r="N29">
        <f>VLOOKUP(D29, Products!$A$2:$F$61, 4, FALSE)</f>
        <v>1665</v>
      </c>
    </row>
    <row r="30" spans="1:14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 t="str">
        <f>VLOOKUP(D30, Products!$A$2:$F$61, 3, FALSE)</f>
        <v>Beauty</v>
      </c>
      <c r="M30" t="str">
        <f>VLOOKUP(E26, Sales_Reps!$A$2:$E$31, 3, FALSE)</f>
        <v>East</v>
      </c>
      <c r="N30">
        <f>VLOOKUP(D30, Products!$A$2:$F$61, 4, FALSE)</f>
        <v>2237</v>
      </c>
    </row>
    <row r="31" spans="1:14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 t="str">
        <f>VLOOKUP(D31, Products!$A$2:$F$61, 3, FALSE)</f>
        <v>Sports</v>
      </c>
      <c r="M31" t="str">
        <f>VLOOKUP(E27, Sales_Reps!$A$2:$E$31, 3, FALSE)</f>
        <v>East</v>
      </c>
      <c r="N31">
        <f>VLOOKUP(D31, Products!$A$2:$F$61, 4, FALSE)</f>
        <v>2028</v>
      </c>
    </row>
    <row r="32" spans="1:14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 t="str">
        <f>VLOOKUP(D32, Products!$A$2:$F$61, 3, FALSE)</f>
        <v>Grocery</v>
      </c>
      <c r="M32" t="str">
        <f>VLOOKUP(E28, Sales_Reps!$A$2:$E$31, 3, FALSE)</f>
        <v>North</v>
      </c>
      <c r="N32">
        <f>VLOOKUP(D32, Products!$A$2:$F$61, 4, FALSE)</f>
        <v>434</v>
      </c>
    </row>
    <row r="33" spans="1:14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 t="str">
        <f>VLOOKUP(D33, Products!$A$2:$F$61, 3, FALSE)</f>
        <v>Grocery</v>
      </c>
      <c r="M33" t="str">
        <f>VLOOKUP(E29, Sales_Reps!$A$2:$E$31, 3, FALSE)</f>
        <v>South</v>
      </c>
      <c r="N33">
        <f>VLOOKUP(D33, Products!$A$2:$F$61, 4, FALSE)</f>
        <v>1435</v>
      </c>
    </row>
    <row r="34" spans="1:14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 t="str">
        <f>VLOOKUP(D34, Products!$A$2:$F$61, 3, FALSE)</f>
        <v>Home</v>
      </c>
      <c r="M34" t="str">
        <f>VLOOKUP(E30, Sales_Reps!$A$2:$E$31, 3, FALSE)</f>
        <v>East</v>
      </c>
      <c r="N34">
        <f>VLOOKUP(D34, Products!$A$2:$F$61, 4, FALSE)</f>
        <v>329</v>
      </c>
    </row>
    <row r="35" spans="1:14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 t="str">
        <f>VLOOKUP(D35, Products!$A$2:$F$61, 3, FALSE)</f>
        <v>Home</v>
      </c>
      <c r="M35" t="str">
        <f>VLOOKUP(E31, Sales_Reps!$A$2:$E$31, 3, FALSE)</f>
        <v>North</v>
      </c>
      <c r="N35">
        <f>VLOOKUP(D35, Products!$A$2:$F$61, 4, FALSE)</f>
        <v>1556</v>
      </c>
    </row>
    <row r="36" spans="1:14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 t="str">
        <f>VLOOKUP(D36, Products!$A$2:$F$61, 3, FALSE)</f>
        <v>Beauty</v>
      </c>
      <c r="M36" t="str">
        <f>VLOOKUP(E32, Sales_Reps!$A$2:$E$31, 3, FALSE)</f>
        <v>North</v>
      </c>
      <c r="N36">
        <f>VLOOKUP(D36, Products!$A$2:$F$61, 4, FALSE)</f>
        <v>2237</v>
      </c>
    </row>
    <row r="37" spans="1:14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 t="str">
        <f>VLOOKUP(D37, Products!$A$2:$F$61, 3, FALSE)</f>
        <v>Home</v>
      </c>
      <c r="M37" t="str">
        <f>VLOOKUP(E33, Sales_Reps!$A$2:$E$31, 3, FALSE)</f>
        <v>West</v>
      </c>
      <c r="N37">
        <f>VLOOKUP(D37, Products!$A$2:$F$61, 4, FALSE)</f>
        <v>519</v>
      </c>
    </row>
    <row r="38" spans="1:14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 t="str">
        <f>VLOOKUP(D38, Products!$A$2:$F$61, 3, FALSE)</f>
        <v>Home</v>
      </c>
      <c r="M38" t="str">
        <f>VLOOKUP(E34, Sales_Reps!$A$2:$E$31, 3, FALSE)</f>
        <v>South</v>
      </c>
      <c r="N38">
        <f>VLOOKUP(D38, Products!$A$2:$F$61, 4, FALSE)</f>
        <v>2549</v>
      </c>
    </row>
    <row r="39" spans="1:14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 t="str">
        <f>VLOOKUP(D39, Products!$A$2:$F$61, 3, FALSE)</f>
        <v>Sports</v>
      </c>
      <c r="M39" t="str">
        <f>VLOOKUP(E35, Sales_Reps!$A$2:$E$31, 3, FALSE)</f>
        <v>East</v>
      </c>
      <c r="N39">
        <f>VLOOKUP(D39, Products!$A$2:$F$61, 4, FALSE)</f>
        <v>147</v>
      </c>
    </row>
    <row r="40" spans="1:14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 t="str">
        <f>VLOOKUP(D40, Products!$A$2:$F$61, 3, FALSE)</f>
        <v>Sports</v>
      </c>
      <c r="M40" t="str">
        <f>VLOOKUP(E36, Sales_Reps!$A$2:$E$31, 3, FALSE)</f>
        <v>East</v>
      </c>
      <c r="N40">
        <f>VLOOKUP(D40, Products!$A$2:$F$61, 4, FALSE)</f>
        <v>974</v>
      </c>
    </row>
    <row r="41" spans="1:14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 t="str">
        <f>VLOOKUP(D41, Products!$A$2:$F$61, 3, FALSE)</f>
        <v>Beauty</v>
      </c>
      <c r="M41" t="str">
        <f>VLOOKUP(E37, Sales_Reps!$A$2:$E$31, 3, FALSE)</f>
        <v>East</v>
      </c>
      <c r="N41">
        <f>VLOOKUP(D41, Products!$A$2:$F$61, 4, FALSE)</f>
        <v>1222</v>
      </c>
    </row>
    <row r="42" spans="1:14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 t="str">
        <f>VLOOKUP(D42, Products!$A$2:$F$61, 3, FALSE)</f>
        <v>Home</v>
      </c>
      <c r="M42" t="str">
        <f>VLOOKUP(E38, Sales_Reps!$A$2:$E$31, 3, FALSE)</f>
        <v>South</v>
      </c>
      <c r="N42">
        <f>VLOOKUP(D42, Products!$A$2:$F$61, 4, FALSE)</f>
        <v>2549</v>
      </c>
    </row>
    <row r="43" spans="1:14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 t="str">
        <f>VLOOKUP(D43, Products!$A$2:$F$61, 3, FALSE)</f>
        <v>Beauty</v>
      </c>
      <c r="M43" t="str">
        <f>VLOOKUP(E39, Sales_Reps!$A$2:$E$31, 3, FALSE)</f>
        <v>North</v>
      </c>
      <c r="N43">
        <f>VLOOKUP(D43, Products!$A$2:$F$61, 4, FALSE)</f>
        <v>2768</v>
      </c>
    </row>
    <row r="44" spans="1:14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 t="str">
        <f>VLOOKUP(D44, Products!$A$2:$F$61, 3, FALSE)</f>
        <v>Home</v>
      </c>
      <c r="M44" t="str">
        <f>VLOOKUP(E40, Sales_Reps!$A$2:$E$31, 3, FALSE)</f>
        <v>South</v>
      </c>
      <c r="N44">
        <f>VLOOKUP(D44, Products!$A$2:$F$61, 4, FALSE)</f>
        <v>2135</v>
      </c>
    </row>
    <row r="45" spans="1:14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 t="str">
        <f>VLOOKUP(D45, Products!$A$2:$F$61, 3, FALSE)</f>
        <v>Beauty</v>
      </c>
      <c r="M45" t="str">
        <f>VLOOKUP(E41, Sales_Reps!$A$2:$E$31, 3, FALSE)</f>
        <v>East</v>
      </c>
      <c r="N45">
        <f>VLOOKUP(D45, Products!$A$2:$F$61, 4, FALSE)</f>
        <v>2420</v>
      </c>
    </row>
    <row r="46" spans="1:14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 t="str">
        <f>VLOOKUP(D46, Products!$A$2:$F$61, 3, FALSE)</f>
        <v>Apparel</v>
      </c>
      <c r="M46" t="str">
        <f>VLOOKUP(E42, Sales_Reps!$A$2:$E$31, 3, FALSE)</f>
        <v>North</v>
      </c>
      <c r="N46">
        <f>VLOOKUP(D46, Products!$A$2:$F$61, 4, FALSE)</f>
        <v>1173</v>
      </c>
    </row>
    <row r="47" spans="1:14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 t="str">
        <f>VLOOKUP(D47, Products!$A$2:$F$61, 3, FALSE)</f>
        <v>Grocery</v>
      </c>
      <c r="M47" t="str">
        <f>VLOOKUP(E43, Sales_Reps!$A$2:$E$31, 3, FALSE)</f>
        <v>South</v>
      </c>
      <c r="N47">
        <f>VLOOKUP(D47, Products!$A$2:$F$61, 4, FALSE)</f>
        <v>2436</v>
      </c>
    </row>
    <row r="48" spans="1:14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 t="str">
        <f>VLOOKUP(D48, Products!$A$2:$F$61, 3, FALSE)</f>
        <v>Apparel</v>
      </c>
      <c r="M48" t="str">
        <f>VLOOKUP(E44, Sales_Reps!$A$2:$E$31, 3, FALSE)</f>
        <v>East</v>
      </c>
      <c r="N48">
        <f>VLOOKUP(D48, Products!$A$2:$F$61, 4, FALSE)</f>
        <v>2611</v>
      </c>
    </row>
    <row r="49" spans="1:14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 t="str">
        <f>VLOOKUP(D49, Products!$A$2:$F$61, 3, FALSE)</f>
        <v>Beauty</v>
      </c>
      <c r="M49" t="str">
        <f>VLOOKUP(E45, Sales_Reps!$A$2:$E$31, 3, FALSE)</f>
        <v>West</v>
      </c>
      <c r="N49">
        <f>VLOOKUP(D49, Products!$A$2:$F$61, 4, FALSE)</f>
        <v>2617</v>
      </c>
    </row>
    <row r="50" spans="1:14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 t="str">
        <f>VLOOKUP(D50, Products!$A$2:$F$61, 3, FALSE)</f>
        <v>Grocery</v>
      </c>
      <c r="M50" t="str">
        <f>VLOOKUP(E46, Sales_Reps!$A$2:$E$31, 3, FALSE)</f>
        <v>East</v>
      </c>
      <c r="N50">
        <f>VLOOKUP(D50, Products!$A$2:$F$61, 4, FALSE)</f>
        <v>434</v>
      </c>
    </row>
    <row r="51" spans="1:14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 t="str">
        <f>VLOOKUP(D51, Products!$A$2:$F$61, 3, FALSE)</f>
        <v>Grocery</v>
      </c>
      <c r="M51" t="str">
        <f>VLOOKUP(E47, Sales_Reps!$A$2:$E$31, 3, FALSE)</f>
        <v>South</v>
      </c>
      <c r="N51">
        <f>VLOOKUP(D51, Products!$A$2:$F$61, 4, FALSE)</f>
        <v>1412</v>
      </c>
    </row>
    <row r="52" spans="1:14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 t="str">
        <f>VLOOKUP(D52, Products!$A$2:$F$61, 3, FALSE)</f>
        <v>Electronics</v>
      </c>
      <c r="M52" t="str">
        <f>VLOOKUP(E48, Sales_Reps!$A$2:$E$31, 3, FALSE)</f>
        <v>East</v>
      </c>
      <c r="N52">
        <f>VLOOKUP(D52, Products!$A$2:$F$61, 4, FALSE)</f>
        <v>1559</v>
      </c>
    </row>
    <row r="53" spans="1:14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 t="str">
        <f>VLOOKUP(D53, Products!$A$2:$F$61, 3, FALSE)</f>
        <v>Beauty</v>
      </c>
      <c r="M53" t="str">
        <f>VLOOKUP(E49, Sales_Reps!$A$2:$E$31, 3, FALSE)</f>
        <v>North</v>
      </c>
      <c r="N53">
        <f>VLOOKUP(D53, Products!$A$2:$F$61, 4, FALSE)</f>
        <v>2768</v>
      </c>
    </row>
    <row r="54" spans="1:14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 t="str">
        <f>VLOOKUP(D54, Products!$A$2:$F$61, 3, FALSE)</f>
        <v>Grocery</v>
      </c>
      <c r="M54" t="str">
        <f>VLOOKUP(E50, Sales_Reps!$A$2:$E$31, 3, FALSE)</f>
        <v>North</v>
      </c>
      <c r="N54">
        <f>VLOOKUP(D54, Products!$A$2:$F$61, 4, FALSE)</f>
        <v>2436</v>
      </c>
    </row>
    <row r="55" spans="1:14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 t="str">
        <f>VLOOKUP(D55, Products!$A$2:$F$61, 3, FALSE)</f>
        <v>Home</v>
      </c>
      <c r="M55" t="str">
        <f>VLOOKUP(E51, Sales_Reps!$A$2:$E$31, 3, FALSE)</f>
        <v>West</v>
      </c>
      <c r="N55">
        <f>VLOOKUP(D55, Products!$A$2:$F$61, 4, FALSE)</f>
        <v>1556</v>
      </c>
    </row>
    <row r="56" spans="1:14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 t="str">
        <f>VLOOKUP(D56, Products!$A$2:$F$61, 3, FALSE)</f>
        <v>Apparel</v>
      </c>
      <c r="M56" t="str">
        <f>VLOOKUP(E52, Sales_Reps!$A$2:$E$31, 3, FALSE)</f>
        <v>East</v>
      </c>
      <c r="N56">
        <f>VLOOKUP(D56, Products!$A$2:$F$61, 4, FALSE)</f>
        <v>2611</v>
      </c>
    </row>
    <row r="57" spans="1:14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 t="str">
        <f>VLOOKUP(D57, Products!$A$2:$F$61, 3, FALSE)</f>
        <v>Beauty</v>
      </c>
      <c r="M57" t="str">
        <f>VLOOKUP(E53, Sales_Reps!$A$2:$E$31, 3, FALSE)</f>
        <v>South</v>
      </c>
      <c r="N57">
        <f>VLOOKUP(D57, Products!$A$2:$F$61, 4, FALSE)</f>
        <v>647</v>
      </c>
    </row>
    <row r="58" spans="1:14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 t="str">
        <f>VLOOKUP(D58, Products!$A$2:$F$61, 3, FALSE)</f>
        <v>Home</v>
      </c>
      <c r="M58" t="str">
        <f>VLOOKUP(E54, Sales_Reps!$A$2:$E$31, 3, FALSE)</f>
        <v>South</v>
      </c>
      <c r="N58">
        <f>VLOOKUP(D58, Products!$A$2:$F$61, 4, FALSE)</f>
        <v>519</v>
      </c>
    </row>
    <row r="59" spans="1:14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 t="str">
        <f>VLOOKUP(D59, Products!$A$2:$F$61, 3, FALSE)</f>
        <v>Grocery</v>
      </c>
      <c r="M59" t="str">
        <f>VLOOKUP(E55, Sales_Reps!$A$2:$E$31, 3, FALSE)</f>
        <v>East</v>
      </c>
      <c r="N59">
        <f>VLOOKUP(D59, Products!$A$2:$F$61, 4, FALSE)</f>
        <v>2027</v>
      </c>
    </row>
    <row r="60" spans="1:14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 t="str">
        <f>VLOOKUP(D60, Products!$A$2:$F$61, 3, FALSE)</f>
        <v>Electronics</v>
      </c>
      <c r="M60" t="str">
        <f>VLOOKUP(E56, Sales_Reps!$A$2:$E$31, 3, FALSE)</f>
        <v>North</v>
      </c>
      <c r="N60">
        <f>VLOOKUP(D60, Products!$A$2:$F$61, 4, FALSE)</f>
        <v>517</v>
      </c>
    </row>
    <row r="61" spans="1:14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 t="str">
        <f>VLOOKUP(D61, Products!$A$2:$F$61, 3, FALSE)</f>
        <v>Home</v>
      </c>
      <c r="M61" t="str">
        <f>VLOOKUP(E57, Sales_Reps!$A$2:$E$31, 3, FALSE)</f>
        <v>East</v>
      </c>
      <c r="N61">
        <f>VLOOKUP(D61, Products!$A$2:$F$61, 4, FALSE)</f>
        <v>1850</v>
      </c>
    </row>
    <row r="62" spans="1:14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 t="str">
        <f>VLOOKUP(D62, Products!$A$2:$F$61, 3, FALSE)</f>
        <v>Home</v>
      </c>
      <c r="M62" t="str">
        <f>VLOOKUP(E58, Sales_Reps!$A$2:$E$31, 3, FALSE)</f>
        <v>East</v>
      </c>
      <c r="N62">
        <f>VLOOKUP(D62, Products!$A$2:$F$61, 4, FALSE)</f>
        <v>519</v>
      </c>
    </row>
    <row r="63" spans="1:14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 t="str">
        <f>VLOOKUP(D63, Products!$A$2:$F$61, 3, FALSE)</f>
        <v>Beauty</v>
      </c>
      <c r="M63" t="str">
        <f>VLOOKUP(E59, Sales_Reps!$A$2:$E$31, 3, FALSE)</f>
        <v>North</v>
      </c>
      <c r="N63">
        <f>VLOOKUP(D63, Products!$A$2:$F$61, 4, FALSE)</f>
        <v>1626</v>
      </c>
    </row>
    <row r="64" spans="1:14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 t="str">
        <f>VLOOKUP(D64, Products!$A$2:$F$61, 3, FALSE)</f>
        <v>Electronics</v>
      </c>
      <c r="M64" t="str">
        <f>VLOOKUP(E60, Sales_Reps!$A$2:$E$31, 3, FALSE)</f>
        <v>West</v>
      </c>
      <c r="N64">
        <f>VLOOKUP(D64, Products!$A$2:$F$61, 4, FALSE)</f>
        <v>1259</v>
      </c>
    </row>
    <row r="65" spans="1:14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 t="str">
        <f>VLOOKUP(D65, Products!$A$2:$F$61, 3, FALSE)</f>
        <v>Electronics</v>
      </c>
      <c r="M65" t="str">
        <f>VLOOKUP(E61, Sales_Reps!$A$2:$E$31, 3, FALSE)</f>
        <v>West</v>
      </c>
      <c r="N65">
        <f>VLOOKUP(D65, Products!$A$2:$F$61, 4, FALSE)</f>
        <v>128</v>
      </c>
    </row>
    <row r="66" spans="1:14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 t="str">
        <f>VLOOKUP(D66, Products!$A$2:$F$61, 3, FALSE)</f>
        <v>Electronics</v>
      </c>
      <c r="M66" t="str">
        <f>VLOOKUP(E62, Sales_Reps!$A$2:$E$31, 3, FALSE)</f>
        <v>South</v>
      </c>
      <c r="N66">
        <f>VLOOKUP(D66, Products!$A$2:$F$61, 4, FALSE)</f>
        <v>1149</v>
      </c>
    </row>
    <row r="67" spans="1:14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 t="str">
        <f>VLOOKUP(D67, Products!$A$2:$F$61, 3, FALSE)</f>
        <v>Apparel</v>
      </c>
      <c r="M67" t="str">
        <f>VLOOKUP(E63, Sales_Reps!$A$2:$E$31, 3, FALSE)</f>
        <v>North</v>
      </c>
      <c r="N67">
        <f>VLOOKUP(D67, Products!$A$2:$F$61, 4, FALSE)</f>
        <v>391</v>
      </c>
    </row>
    <row r="68" spans="1:14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 t="str">
        <f>VLOOKUP(D68, Products!$A$2:$F$61, 3, FALSE)</f>
        <v>Grocery</v>
      </c>
      <c r="M68" t="str">
        <f>VLOOKUP(E64, Sales_Reps!$A$2:$E$31, 3, FALSE)</f>
        <v>East</v>
      </c>
      <c r="N68">
        <f>VLOOKUP(D68, Products!$A$2:$F$61, 4, FALSE)</f>
        <v>1435</v>
      </c>
    </row>
    <row r="69" spans="1:14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 t="str">
        <f>VLOOKUP(D69, Products!$A$2:$F$61, 3, FALSE)</f>
        <v>Apparel</v>
      </c>
      <c r="M69" t="str">
        <f>VLOOKUP(E65, Sales_Reps!$A$2:$E$31, 3, FALSE)</f>
        <v>North</v>
      </c>
      <c r="N69">
        <f>VLOOKUP(D69, Products!$A$2:$F$61, 4, FALSE)</f>
        <v>2509</v>
      </c>
    </row>
    <row r="70" spans="1:14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 t="str">
        <f>VLOOKUP(D70, Products!$A$2:$F$61, 3, FALSE)</f>
        <v>Apparel</v>
      </c>
      <c r="M70" t="str">
        <f>VLOOKUP(E66, Sales_Reps!$A$2:$E$31, 3, FALSE)</f>
        <v>East</v>
      </c>
      <c r="N70">
        <f>VLOOKUP(D70, Products!$A$2:$F$61, 4, FALSE)</f>
        <v>396</v>
      </c>
    </row>
    <row r="71" spans="1:14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 t="str">
        <f>VLOOKUP(D71, Products!$A$2:$F$61, 3, FALSE)</f>
        <v>Home</v>
      </c>
      <c r="M71" t="str">
        <f>VLOOKUP(E67, Sales_Reps!$A$2:$E$31, 3, FALSE)</f>
        <v>East</v>
      </c>
      <c r="N71">
        <f>VLOOKUP(D71, Products!$A$2:$F$61, 4, FALSE)</f>
        <v>1143</v>
      </c>
    </row>
    <row r="72" spans="1:14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 t="str">
        <f>VLOOKUP(D72, Products!$A$2:$F$61, 3, FALSE)</f>
        <v>Apparel</v>
      </c>
      <c r="M72" t="str">
        <f>VLOOKUP(E68, Sales_Reps!$A$2:$E$31, 3, FALSE)</f>
        <v>West</v>
      </c>
      <c r="N72">
        <f>VLOOKUP(D72, Products!$A$2:$F$61, 4, FALSE)</f>
        <v>1886</v>
      </c>
    </row>
    <row r="73" spans="1:14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 t="str">
        <f>VLOOKUP(D73, Products!$A$2:$F$61, 3, FALSE)</f>
        <v>Grocery</v>
      </c>
      <c r="M73" t="str">
        <f>VLOOKUP(E69, Sales_Reps!$A$2:$E$31, 3, FALSE)</f>
        <v>East</v>
      </c>
      <c r="N73">
        <f>VLOOKUP(D73, Products!$A$2:$F$61, 4, FALSE)</f>
        <v>434</v>
      </c>
    </row>
    <row r="74" spans="1:14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 t="str">
        <f>VLOOKUP(D74, Products!$A$2:$F$61, 3, FALSE)</f>
        <v>Beauty</v>
      </c>
      <c r="M74" t="str">
        <f>VLOOKUP(E70, Sales_Reps!$A$2:$E$31, 3, FALSE)</f>
        <v>West</v>
      </c>
      <c r="N74">
        <f>VLOOKUP(D74, Products!$A$2:$F$61, 4, FALSE)</f>
        <v>1728</v>
      </c>
    </row>
    <row r="75" spans="1:14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 t="str">
        <f>VLOOKUP(D75, Products!$A$2:$F$61, 3, FALSE)</f>
        <v>Home</v>
      </c>
      <c r="M75" t="str">
        <f>VLOOKUP(E71, Sales_Reps!$A$2:$E$31, 3, FALSE)</f>
        <v>West</v>
      </c>
      <c r="N75">
        <f>VLOOKUP(D75, Products!$A$2:$F$61, 4, FALSE)</f>
        <v>288</v>
      </c>
    </row>
    <row r="76" spans="1:14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 t="str">
        <f>VLOOKUP(D76, Products!$A$2:$F$61, 3, FALSE)</f>
        <v>Grocery</v>
      </c>
      <c r="M76" t="str">
        <f>VLOOKUP(E72, Sales_Reps!$A$2:$E$31, 3, FALSE)</f>
        <v>North</v>
      </c>
      <c r="N76">
        <f>VLOOKUP(D76, Products!$A$2:$F$61, 4, FALSE)</f>
        <v>434</v>
      </c>
    </row>
    <row r="77" spans="1:14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 t="str">
        <f>VLOOKUP(D77, Products!$A$2:$F$61, 3, FALSE)</f>
        <v>Grocery</v>
      </c>
      <c r="M77" t="str">
        <f>VLOOKUP(E73, Sales_Reps!$A$2:$E$31, 3, FALSE)</f>
        <v>North</v>
      </c>
      <c r="N77">
        <f>VLOOKUP(D77, Products!$A$2:$F$61, 4, FALSE)</f>
        <v>1435</v>
      </c>
    </row>
    <row r="78" spans="1:14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 t="str">
        <f>VLOOKUP(D78, Products!$A$2:$F$61, 3, FALSE)</f>
        <v>Grocery</v>
      </c>
      <c r="M78" t="str">
        <f>VLOOKUP(E74, Sales_Reps!$A$2:$E$31, 3, FALSE)</f>
        <v>North</v>
      </c>
      <c r="N78">
        <f>VLOOKUP(D78, Products!$A$2:$F$61, 4, FALSE)</f>
        <v>1435</v>
      </c>
    </row>
    <row r="79" spans="1:14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 t="str">
        <f>VLOOKUP(D79, Products!$A$2:$F$61, 3, FALSE)</f>
        <v>Electronics</v>
      </c>
      <c r="M79" t="str">
        <f>VLOOKUP(E75, Sales_Reps!$A$2:$E$31, 3, FALSE)</f>
        <v>East</v>
      </c>
      <c r="N79">
        <f>VLOOKUP(D79, Products!$A$2:$F$61, 4, FALSE)</f>
        <v>517</v>
      </c>
    </row>
    <row r="80" spans="1:14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 t="str">
        <f>VLOOKUP(D80, Products!$A$2:$F$61, 3, FALSE)</f>
        <v>Electronics</v>
      </c>
      <c r="M80" t="str">
        <f>VLOOKUP(E76, Sales_Reps!$A$2:$E$31, 3, FALSE)</f>
        <v>South</v>
      </c>
      <c r="N80">
        <f>VLOOKUP(D80, Products!$A$2:$F$61, 4, FALSE)</f>
        <v>1052</v>
      </c>
    </row>
    <row r="81" spans="1:14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 t="str">
        <f>VLOOKUP(D81, Products!$A$2:$F$61, 3, FALSE)</f>
        <v>Grocery</v>
      </c>
      <c r="M81" t="str">
        <f>VLOOKUP(E77, Sales_Reps!$A$2:$E$31, 3, FALSE)</f>
        <v>East</v>
      </c>
      <c r="N81">
        <f>VLOOKUP(D81, Products!$A$2:$F$61, 4, FALSE)</f>
        <v>2027</v>
      </c>
    </row>
    <row r="82" spans="1:14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 t="str">
        <f>VLOOKUP(D82, Products!$A$2:$F$61, 3, FALSE)</f>
        <v>Grocery</v>
      </c>
      <c r="M82" t="str">
        <f>VLOOKUP(E78, Sales_Reps!$A$2:$E$31, 3, FALSE)</f>
        <v>East</v>
      </c>
      <c r="N82">
        <f>VLOOKUP(D82, Products!$A$2:$F$61, 4, FALSE)</f>
        <v>1203</v>
      </c>
    </row>
    <row r="83" spans="1:14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 t="str">
        <f>VLOOKUP(D83, Products!$A$2:$F$61, 3, FALSE)</f>
        <v>Apparel</v>
      </c>
      <c r="M83" t="str">
        <f>VLOOKUP(E79, Sales_Reps!$A$2:$E$31, 3, FALSE)</f>
        <v>East</v>
      </c>
      <c r="N83">
        <f>VLOOKUP(D83, Products!$A$2:$F$61, 4, FALSE)</f>
        <v>1886</v>
      </c>
    </row>
    <row r="84" spans="1:14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 t="str">
        <f>VLOOKUP(D84, Products!$A$2:$F$61, 3, FALSE)</f>
        <v>Apparel</v>
      </c>
      <c r="M84" t="str">
        <f>VLOOKUP(E80, Sales_Reps!$A$2:$E$31, 3, FALSE)</f>
        <v>West</v>
      </c>
      <c r="N84">
        <f>VLOOKUP(D84, Products!$A$2:$F$61, 4, FALSE)</f>
        <v>1173</v>
      </c>
    </row>
    <row r="85" spans="1:14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 t="str">
        <f>VLOOKUP(D85, Products!$A$2:$F$61, 3, FALSE)</f>
        <v>Electronics</v>
      </c>
      <c r="M85" t="str">
        <f>VLOOKUP(E81, Sales_Reps!$A$2:$E$31, 3, FALSE)</f>
        <v>West</v>
      </c>
      <c r="N85">
        <f>VLOOKUP(D85, Products!$A$2:$F$61, 4, FALSE)</f>
        <v>1259</v>
      </c>
    </row>
    <row r="86" spans="1:14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 t="str">
        <f>VLOOKUP(D86, Products!$A$2:$F$61, 3, FALSE)</f>
        <v>Beauty</v>
      </c>
      <c r="M86" t="str">
        <f>VLOOKUP(E82, Sales_Reps!$A$2:$E$31, 3, FALSE)</f>
        <v>North</v>
      </c>
      <c r="N86">
        <f>VLOOKUP(D86, Products!$A$2:$F$61, 4, FALSE)</f>
        <v>1626</v>
      </c>
    </row>
    <row r="87" spans="1:14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 t="str">
        <f>VLOOKUP(D87, Products!$A$2:$F$61, 3, FALSE)</f>
        <v>Apparel</v>
      </c>
      <c r="M87" t="str">
        <f>VLOOKUP(E83, Sales_Reps!$A$2:$E$31, 3, FALSE)</f>
        <v>East</v>
      </c>
      <c r="N87">
        <f>VLOOKUP(D87, Products!$A$2:$F$61, 4, FALSE)</f>
        <v>396</v>
      </c>
    </row>
    <row r="88" spans="1:14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 t="str">
        <f>VLOOKUP(D88, Products!$A$2:$F$61, 3, FALSE)</f>
        <v>Sports</v>
      </c>
      <c r="M88" t="str">
        <f>VLOOKUP(E84, Sales_Reps!$A$2:$E$31, 3, FALSE)</f>
        <v>North</v>
      </c>
      <c r="N88">
        <f>VLOOKUP(D88, Products!$A$2:$F$61, 4, FALSE)</f>
        <v>302</v>
      </c>
    </row>
    <row r="89" spans="1:14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 t="str">
        <f>VLOOKUP(D89, Products!$A$2:$F$61, 3, FALSE)</f>
        <v>Electronics</v>
      </c>
      <c r="M89" t="str">
        <f>VLOOKUP(E85, Sales_Reps!$A$2:$E$31, 3, FALSE)</f>
        <v>West</v>
      </c>
      <c r="N89">
        <f>VLOOKUP(D89, Products!$A$2:$F$61, 4, FALSE)</f>
        <v>861</v>
      </c>
    </row>
    <row r="90" spans="1:14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 t="str">
        <f>VLOOKUP(D90, Products!$A$2:$F$61, 3, FALSE)</f>
        <v>Apparel</v>
      </c>
      <c r="M90" t="str">
        <f>VLOOKUP(E86, Sales_Reps!$A$2:$E$31, 3, FALSE)</f>
        <v>South</v>
      </c>
      <c r="N90">
        <f>VLOOKUP(D90, Products!$A$2:$F$61, 4, FALSE)</f>
        <v>396</v>
      </c>
    </row>
    <row r="91" spans="1:14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 t="str">
        <f>VLOOKUP(D91, Products!$A$2:$F$61, 3, FALSE)</f>
        <v>Electronics</v>
      </c>
      <c r="M91" t="str">
        <f>VLOOKUP(E87, Sales_Reps!$A$2:$E$31, 3, FALSE)</f>
        <v>West</v>
      </c>
      <c r="N91">
        <f>VLOOKUP(D91, Products!$A$2:$F$61, 4, FALSE)</f>
        <v>1665</v>
      </c>
    </row>
    <row r="92" spans="1:14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 t="str">
        <f>VLOOKUP(D92, Products!$A$2:$F$61, 3, FALSE)</f>
        <v>Grocery</v>
      </c>
      <c r="M92" t="str">
        <f>VLOOKUP(E88, Sales_Reps!$A$2:$E$31, 3, FALSE)</f>
        <v>West</v>
      </c>
      <c r="N92">
        <f>VLOOKUP(D92, Products!$A$2:$F$61, 4, FALSE)</f>
        <v>1412</v>
      </c>
    </row>
    <row r="93" spans="1:14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 t="str">
        <f>VLOOKUP(D93, Products!$A$2:$F$61, 3, FALSE)</f>
        <v>Apparel</v>
      </c>
      <c r="M93" t="str">
        <f>VLOOKUP(E89, Sales_Reps!$A$2:$E$31, 3, FALSE)</f>
        <v>South</v>
      </c>
      <c r="N93">
        <f>VLOOKUP(D93, Products!$A$2:$F$61, 4, FALSE)</f>
        <v>1962</v>
      </c>
    </row>
    <row r="94" spans="1:14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 t="str">
        <f>VLOOKUP(D94, Products!$A$2:$F$61, 3, FALSE)</f>
        <v>Grocery</v>
      </c>
      <c r="M94" t="str">
        <f>VLOOKUP(E90, Sales_Reps!$A$2:$E$31, 3, FALSE)</f>
        <v>North</v>
      </c>
      <c r="N94">
        <f>VLOOKUP(D94, Products!$A$2:$F$61, 4, FALSE)</f>
        <v>1010</v>
      </c>
    </row>
    <row r="95" spans="1:14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 t="str">
        <f>VLOOKUP(D95, Products!$A$2:$F$61, 3, FALSE)</f>
        <v>Sports</v>
      </c>
      <c r="M95" t="str">
        <f>VLOOKUP(E91, Sales_Reps!$A$2:$E$31, 3, FALSE)</f>
        <v>South</v>
      </c>
      <c r="N95">
        <f>VLOOKUP(D95, Products!$A$2:$F$61, 4, FALSE)</f>
        <v>147</v>
      </c>
    </row>
    <row r="96" spans="1:14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 t="str">
        <f>VLOOKUP(D96, Products!$A$2:$F$61, 3, FALSE)</f>
        <v>Beauty</v>
      </c>
      <c r="M96" t="str">
        <f>VLOOKUP(E92, Sales_Reps!$A$2:$E$31, 3, FALSE)</f>
        <v>South</v>
      </c>
      <c r="N96">
        <f>VLOOKUP(D96, Products!$A$2:$F$61, 4, FALSE)</f>
        <v>2237</v>
      </c>
    </row>
    <row r="97" spans="1:14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 t="str">
        <f>VLOOKUP(D97, Products!$A$2:$F$61, 3, FALSE)</f>
        <v>Sports</v>
      </c>
      <c r="M97" t="str">
        <f>VLOOKUP(E93, Sales_Reps!$A$2:$E$31, 3, FALSE)</f>
        <v>South</v>
      </c>
      <c r="N97">
        <f>VLOOKUP(D97, Products!$A$2:$F$61, 4, FALSE)</f>
        <v>516</v>
      </c>
    </row>
    <row r="98" spans="1:14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 t="str">
        <f>VLOOKUP(D98, Products!$A$2:$F$61, 3, FALSE)</f>
        <v>Home</v>
      </c>
      <c r="M98" t="str">
        <f>VLOOKUP(E94, Sales_Reps!$A$2:$E$31, 3, FALSE)</f>
        <v>North</v>
      </c>
      <c r="N98">
        <f>VLOOKUP(D98, Products!$A$2:$F$61, 4, FALSE)</f>
        <v>2135</v>
      </c>
    </row>
    <row r="99" spans="1:14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 t="str">
        <f>VLOOKUP(D99, Products!$A$2:$F$61, 3, FALSE)</f>
        <v>Electronics</v>
      </c>
      <c r="M99" t="str">
        <f>VLOOKUP(E95, Sales_Reps!$A$2:$E$31, 3, FALSE)</f>
        <v>West</v>
      </c>
      <c r="N99">
        <f>VLOOKUP(D99, Products!$A$2:$F$61, 4, FALSE)</f>
        <v>1052</v>
      </c>
    </row>
    <row r="100" spans="1:14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 t="str">
        <f>VLOOKUP(D100, Products!$A$2:$F$61, 3, FALSE)</f>
        <v>Grocery</v>
      </c>
      <c r="M100" t="str">
        <f>VLOOKUP(E96, Sales_Reps!$A$2:$E$31, 3, FALSE)</f>
        <v>West</v>
      </c>
      <c r="N100">
        <f>VLOOKUP(D100, Products!$A$2:$F$61, 4, FALSE)</f>
        <v>2911</v>
      </c>
    </row>
    <row r="101" spans="1:14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 t="str">
        <f>VLOOKUP(D101, Products!$A$2:$F$61, 3, FALSE)</f>
        <v>Beauty</v>
      </c>
      <c r="M101" t="str">
        <f>VLOOKUP(E97, Sales_Reps!$A$2:$E$31, 3, FALSE)</f>
        <v>South</v>
      </c>
      <c r="N101">
        <f>VLOOKUP(D101, Products!$A$2:$F$61, 4, FALSE)</f>
        <v>2617</v>
      </c>
    </row>
    <row r="102" spans="1:14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 t="str">
        <f>VLOOKUP(D102, Products!$A$2:$F$61, 3, FALSE)</f>
        <v>Apparel</v>
      </c>
      <c r="M102" t="str">
        <f>VLOOKUP(E98, Sales_Reps!$A$2:$E$31, 3, FALSE)</f>
        <v>West</v>
      </c>
      <c r="N102">
        <f>VLOOKUP(D102, Products!$A$2:$F$61, 4, FALSE)</f>
        <v>1075</v>
      </c>
    </row>
    <row r="103" spans="1:14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 t="str">
        <f>VLOOKUP(D103, Products!$A$2:$F$61, 3, FALSE)</f>
        <v>Home</v>
      </c>
      <c r="M103" t="str">
        <f>VLOOKUP(E99, Sales_Reps!$A$2:$E$31, 3, FALSE)</f>
        <v>West</v>
      </c>
      <c r="N103">
        <f>VLOOKUP(D103, Products!$A$2:$F$61, 4, FALSE)</f>
        <v>1556</v>
      </c>
    </row>
    <row r="104" spans="1:14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 t="str">
        <f>VLOOKUP(D104, Products!$A$2:$F$61, 3, FALSE)</f>
        <v>Sports</v>
      </c>
      <c r="M104" t="str">
        <f>VLOOKUP(E100, Sales_Reps!$A$2:$E$31, 3, FALSE)</f>
        <v>North</v>
      </c>
      <c r="N104">
        <f>VLOOKUP(D104, Products!$A$2:$F$61, 4, FALSE)</f>
        <v>2265</v>
      </c>
    </row>
    <row r="105" spans="1:14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 t="str">
        <f>VLOOKUP(D105, Products!$A$2:$F$61, 3, FALSE)</f>
        <v>Electronics</v>
      </c>
      <c r="M105" t="str">
        <f>VLOOKUP(E101, Sales_Reps!$A$2:$E$31, 3, FALSE)</f>
        <v>West</v>
      </c>
      <c r="N105">
        <f>VLOOKUP(D105, Products!$A$2:$F$61, 4, FALSE)</f>
        <v>1665</v>
      </c>
    </row>
    <row r="106" spans="1:14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 t="str">
        <f>VLOOKUP(D106, Products!$A$2:$F$61, 3, FALSE)</f>
        <v>Electronics</v>
      </c>
      <c r="M106" t="str">
        <f>VLOOKUP(E102, Sales_Reps!$A$2:$E$31, 3, FALSE)</f>
        <v>West</v>
      </c>
      <c r="N106">
        <f>VLOOKUP(D106, Products!$A$2:$F$61, 4, FALSE)</f>
        <v>2405</v>
      </c>
    </row>
    <row r="107" spans="1:14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 t="str">
        <f>VLOOKUP(D107, Products!$A$2:$F$61, 3, FALSE)</f>
        <v>Grocery</v>
      </c>
      <c r="M107" t="str">
        <f>VLOOKUP(E103, Sales_Reps!$A$2:$E$31, 3, FALSE)</f>
        <v>West</v>
      </c>
      <c r="N107">
        <f>VLOOKUP(D107, Products!$A$2:$F$61, 4, FALSE)</f>
        <v>1182</v>
      </c>
    </row>
    <row r="108" spans="1:14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 t="str">
        <f>VLOOKUP(D108, Products!$A$2:$F$61, 3, FALSE)</f>
        <v>Sports</v>
      </c>
      <c r="M108" t="str">
        <f>VLOOKUP(E104, Sales_Reps!$A$2:$E$31, 3, FALSE)</f>
        <v>North</v>
      </c>
      <c r="N108">
        <f>VLOOKUP(D108, Products!$A$2:$F$61, 4, FALSE)</f>
        <v>516</v>
      </c>
    </row>
    <row r="109" spans="1:14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 t="str">
        <f>VLOOKUP(D109, Products!$A$2:$F$61, 3, FALSE)</f>
        <v>Grocery</v>
      </c>
      <c r="M109" t="str">
        <f>VLOOKUP(E105, Sales_Reps!$A$2:$E$31, 3, FALSE)</f>
        <v>East</v>
      </c>
      <c r="N109">
        <f>VLOOKUP(D109, Products!$A$2:$F$61, 4, FALSE)</f>
        <v>2214</v>
      </c>
    </row>
    <row r="110" spans="1:14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 t="str">
        <f>VLOOKUP(D110, Products!$A$2:$F$61, 3, FALSE)</f>
        <v>Grocery</v>
      </c>
      <c r="M110" t="str">
        <f>VLOOKUP(E106, Sales_Reps!$A$2:$E$31, 3, FALSE)</f>
        <v>North</v>
      </c>
      <c r="N110">
        <f>VLOOKUP(D110, Products!$A$2:$F$61, 4, FALSE)</f>
        <v>2027</v>
      </c>
    </row>
    <row r="111" spans="1:14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 t="str">
        <f>VLOOKUP(D111, Products!$A$2:$F$61, 3, FALSE)</f>
        <v>Home</v>
      </c>
      <c r="M111" t="str">
        <f>VLOOKUP(E107, Sales_Reps!$A$2:$E$31, 3, FALSE)</f>
        <v>East</v>
      </c>
      <c r="N111">
        <f>VLOOKUP(D111, Products!$A$2:$F$61, 4, FALSE)</f>
        <v>329</v>
      </c>
    </row>
    <row r="112" spans="1:14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 t="str">
        <f>VLOOKUP(D112, Products!$A$2:$F$61, 3, FALSE)</f>
        <v>Home</v>
      </c>
      <c r="M112" t="str">
        <f>VLOOKUP(E108, Sales_Reps!$A$2:$E$31, 3, FALSE)</f>
        <v>West</v>
      </c>
      <c r="N112">
        <f>VLOOKUP(D112, Products!$A$2:$F$61, 4, FALSE)</f>
        <v>519</v>
      </c>
    </row>
    <row r="113" spans="1:14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 t="str">
        <f>VLOOKUP(D113, Products!$A$2:$F$61, 3, FALSE)</f>
        <v>Apparel</v>
      </c>
      <c r="M113" t="str">
        <f>VLOOKUP(E109, Sales_Reps!$A$2:$E$31, 3, FALSE)</f>
        <v>West</v>
      </c>
      <c r="N113">
        <f>VLOOKUP(D113, Products!$A$2:$F$61, 4, FALSE)</f>
        <v>391</v>
      </c>
    </row>
    <row r="114" spans="1:14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 t="str">
        <f>VLOOKUP(D114, Products!$A$2:$F$61, 3, FALSE)</f>
        <v>Beauty</v>
      </c>
      <c r="M114" t="str">
        <f>VLOOKUP(E110, Sales_Reps!$A$2:$E$31, 3, FALSE)</f>
        <v>South</v>
      </c>
      <c r="N114">
        <f>VLOOKUP(D114, Products!$A$2:$F$61, 4, FALSE)</f>
        <v>675</v>
      </c>
    </row>
    <row r="115" spans="1:14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 t="str">
        <f>VLOOKUP(D115, Products!$A$2:$F$61, 3, FALSE)</f>
        <v>Electronics</v>
      </c>
      <c r="M115" t="str">
        <f>VLOOKUP(E111, Sales_Reps!$A$2:$E$31, 3, FALSE)</f>
        <v>West</v>
      </c>
      <c r="N115">
        <f>VLOOKUP(D115, Products!$A$2:$F$61, 4, FALSE)</f>
        <v>1052</v>
      </c>
    </row>
    <row r="116" spans="1:14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 t="str">
        <f>VLOOKUP(D116, Products!$A$2:$F$61, 3, FALSE)</f>
        <v>Home</v>
      </c>
      <c r="M116" t="str">
        <f>VLOOKUP(E112, Sales_Reps!$A$2:$E$31, 3, FALSE)</f>
        <v>West</v>
      </c>
      <c r="N116">
        <f>VLOOKUP(D116, Products!$A$2:$F$61, 4, FALSE)</f>
        <v>1143</v>
      </c>
    </row>
    <row r="117" spans="1:14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 t="str">
        <f>VLOOKUP(D117, Products!$A$2:$F$61, 3, FALSE)</f>
        <v>Beauty</v>
      </c>
      <c r="M117" t="str">
        <f>VLOOKUP(E113, Sales_Reps!$A$2:$E$31, 3, FALSE)</f>
        <v>North</v>
      </c>
      <c r="N117">
        <f>VLOOKUP(D117, Products!$A$2:$F$61, 4, FALSE)</f>
        <v>1219</v>
      </c>
    </row>
    <row r="118" spans="1:14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 t="str">
        <f>VLOOKUP(D118, Products!$A$2:$F$61, 3, FALSE)</f>
        <v>Home</v>
      </c>
      <c r="M118" t="str">
        <f>VLOOKUP(E114, Sales_Reps!$A$2:$E$31, 3, FALSE)</f>
        <v>West</v>
      </c>
      <c r="N118">
        <f>VLOOKUP(D118, Products!$A$2:$F$61, 4, FALSE)</f>
        <v>2135</v>
      </c>
    </row>
    <row r="119" spans="1:14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 t="str">
        <f>VLOOKUP(D119, Products!$A$2:$F$61, 3, FALSE)</f>
        <v>Electronics</v>
      </c>
      <c r="M119" t="str">
        <f>VLOOKUP(E115, Sales_Reps!$A$2:$E$31, 3, FALSE)</f>
        <v>South</v>
      </c>
      <c r="N119">
        <f>VLOOKUP(D119, Products!$A$2:$F$61, 4, FALSE)</f>
        <v>128</v>
      </c>
    </row>
    <row r="120" spans="1:14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 t="str">
        <f>VLOOKUP(D120, Products!$A$2:$F$61, 3, FALSE)</f>
        <v>Electronics</v>
      </c>
      <c r="M120" t="str">
        <f>VLOOKUP(E116, Sales_Reps!$A$2:$E$31, 3, FALSE)</f>
        <v>West</v>
      </c>
      <c r="N120">
        <f>VLOOKUP(D120, Products!$A$2:$F$61, 4, FALSE)</f>
        <v>128</v>
      </c>
    </row>
    <row r="121" spans="1:14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 t="str">
        <f>VLOOKUP(D121, Products!$A$2:$F$61, 3, FALSE)</f>
        <v>Beauty</v>
      </c>
      <c r="M121" t="str">
        <f>VLOOKUP(E117, Sales_Reps!$A$2:$E$31, 3, FALSE)</f>
        <v>West</v>
      </c>
      <c r="N121">
        <f>VLOOKUP(D121, Products!$A$2:$F$61, 4, FALSE)</f>
        <v>1728</v>
      </c>
    </row>
    <row r="122" spans="1:14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 t="str">
        <f>VLOOKUP(D122, Products!$A$2:$F$61, 3, FALSE)</f>
        <v>Electronics</v>
      </c>
      <c r="M122" t="str">
        <f>VLOOKUP(E118, Sales_Reps!$A$2:$E$31, 3, FALSE)</f>
        <v>West</v>
      </c>
      <c r="N122">
        <f>VLOOKUP(D122, Products!$A$2:$F$61, 4, FALSE)</f>
        <v>2405</v>
      </c>
    </row>
    <row r="123" spans="1:14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 t="str">
        <f>VLOOKUP(D123, Products!$A$2:$F$61, 3, FALSE)</f>
        <v>Apparel</v>
      </c>
      <c r="M123" t="str">
        <f>VLOOKUP(E119, Sales_Reps!$A$2:$E$31, 3, FALSE)</f>
        <v>South</v>
      </c>
      <c r="N123">
        <f>VLOOKUP(D123, Products!$A$2:$F$61, 4, FALSE)</f>
        <v>2509</v>
      </c>
    </row>
    <row r="124" spans="1:14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 t="str">
        <f>VLOOKUP(D124, Products!$A$2:$F$61, 3, FALSE)</f>
        <v>Apparel</v>
      </c>
      <c r="M124" t="str">
        <f>VLOOKUP(E120, Sales_Reps!$A$2:$E$31, 3, FALSE)</f>
        <v>South</v>
      </c>
      <c r="N124">
        <f>VLOOKUP(D124, Products!$A$2:$F$61, 4, FALSE)</f>
        <v>2509</v>
      </c>
    </row>
    <row r="125" spans="1:14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 t="str">
        <f>VLOOKUP(D125, Products!$A$2:$F$61, 3, FALSE)</f>
        <v>Sports</v>
      </c>
      <c r="M125" t="str">
        <f>VLOOKUP(E121, Sales_Reps!$A$2:$E$31, 3, FALSE)</f>
        <v>North</v>
      </c>
      <c r="N125">
        <f>VLOOKUP(D125, Products!$A$2:$F$61, 4, FALSE)</f>
        <v>705</v>
      </c>
    </row>
    <row r="126" spans="1:14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 t="str">
        <f>VLOOKUP(D126, Products!$A$2:$F$61, 3, FALSE)</f>
        <v>Beauty</v>
      </c>
      <c r="M126" t="str">
        <f>VLOOKUP(E122, Sales_Reps!$A$2:$E$31, 3, FALSE)</f>
        <v>North</v>
      </c>
      <c r="N126">
        <f>VLOOKUP(D126, Products!$A$2:$F$61, 4, FALSE)</f>
        <v>1222</v>
      </c>
    </row>
    <row r="127" spans="1:14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 t="str">
        <f>VLOOKUP(D127, Products!$A$2:$F$61, 3, FALSE)</f>
        <v>Beauty</v>
      </c>
      <c r="M127" t="str">
        <f>VLOOKUP(E123, Sales_Reps!$A$2:$E$31, 3, FALSE)</f>
        <v>North</v>
      </c>
      <c r="N127">
        <f>VLOOKUP(D127, Products!$A$2:$F$61, 4, FALSE)</f>
        <v>675</v>
      </c>
    </row>
    <row r="128" spans="1:14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 t="str">
        <f>VLOOKUP(D128, Products!$A$2:$F$61, 3, FALSE)</f>
        <v>Electronics</v>
      </c>
      <c r="M128" t="str">
        <f>VLOOKUP(E124, Sales_Reps!$A$2:$E$31, 3, FALSE)</f>
        <v>North</v>
      </c>
      <c r="N128">
        <f>VLOOKUP(D128, Products!$A$2:$F$61, 4, FALSE)</f>
        <v>2865</v>
      </c>
    </row>
    <row r="129" spans="1:14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 t="str">
        <f>VLOOKUP(D129, Products!$A$2:$F$61, 3, FALSE)</f>
        <v>Grocery</v>
      </c>
      <c r="M129" t="str">
        <f>VLOOKUP(E125, Sales_Reps!$A$2:$E$31, 3, FALSE)</f>
        <v>North</v>
      </c>
      <c r="N129">
        <f>VLOOKUP(D129, Products!$A$2:$F$61, 4, FALSE)</f>
        <v>434</v>
      </c>
    </row>
    <row r="130" spans="1:14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 t="str">
        <f>VLOOKUP(D130, Products!$A$2:$F$61, 3, FALSE)</f>
        <v>Home</v>
      </c>
      <c r="M130" t="str">
        <f>VLOOKUP(E126, Sales_Reps!$A$2:$E$31, 3, FALSE)</f>
        <v>West</v>
      </c>
      <c r="N130">
        <f>VLOOKUP(D130, Products!$A$2:$F$61, 4, FALSE)</f>
        <v>1143</v>
      </c>
    </row>
    <row r="131" spans="1:14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 t="str">
        <f>VLOOKUP(D131, Products!$A$2:$F$61, 3, FALSE)</f>
        <v>Grocery</v>
      </c>
      <c r="M131" t="str">
        <f>VLOOKUP(E127, Sales_Reps!$A$2:$E$31, 3, FALSE)</f>
        <v>South</v>
      </c>
      <c r="N131">
        <f>VLOOKUP(D131, Products!$A$2:$F$61, 4, FALSE)</f>
        <v>1203</v>
      </c>
    </row>
    <row r="132" spans="1:14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 t="str">
        <f>VLOOKUP(D132, Products!$A$2:$F$61, 3, FALSE)</f>
        <v>Beauty</v>
      </c>
      <c r="M132" t="str">
        <f>VLOOKUP(E128, Sales_Reps!$A$2:$E$31, 3, FALSE)</f>
        <v>North</v>
      </c>
      <c r="N132">
        <f>VLOOKUP(D132, Products!$A$2:$F$61, 4, FALSE)</f>
        <v>2768</v>
      </c>
    </row>
    <row r="133" spans="1:14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 t="str">
        <f>VLOOKUP(D133, Products!$A$2:$F$61, 3, FALSE)</f>
        <v>Electronics</v>
      </c>
      <c r="M133" t="str">
        <f>VLOOKUP(E129, Sales_Reps!$A$2:$E$31, 3, FALSE)</f>
        <v>North</v>
      </c>
      <c r="N133">
        <f>VLOOKUP(D133, Products!$A$2:$F$61, 4, FALSE)</f>
        <v>1559</v>
      </c>
    </row>
    <row r="134" spans="1:14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 t="str">
        <f>VLOOKUP(D134, Products!$A$2:$F$61, 3, FALSE)</f>
        <v>Beauty</v>
      </c>
      <c r="M134" t="str">
        <f>VLOOKUP(E130, Sales_Reps!$A$2:$E$31, 3, FALSE)</f>
        <v>North</v>
      </c>
      <c r="N134">
        <f>VLOOKUP(D134, Products!$A$2:$F$61, 4, FALSE)</f>
        <v>1219</v>
      </c>
    </row>
    <row r="135" spans="1:14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 t="str">
        <f>VLOOKUP(D135, Products!$A$2:$F$61, 3, FALSE)</f>
        <v>Grocery</v>
      </c>
      <c r="M135" t="str">
        <f>VLOOKUP(E131, Sales_Reps!$A$2:$E$31, 3, FALSE)</f>
        <v>East</v>
      </c>
      <c r="N135">
        <f>VLOOKUP(D135, Products!$A$2:$F$61, 4, FALSE)</f>
        <v>1182</v>
      </c>
    </row>
    <row r="136" spans="1:14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 t="str">
        <f>VLOOKUP(D136, Products!$A$2:$F$61, 3, FALSE)</f>
        <v>Grocery</v>
      </c>
      <c r="M136" t="str">
        <f>VLOOKUP(E132, Sales_Reps!$A$2:$E$31, 3, FALSE)</f>
        <v>North</v>
      </c>
      <c r="N136">
        <f>VLOOKUP(D136, Products!$A$2:$F$61, 4, FALSE)</f>
        <v>1010</v>
      </c>
    </row>
    <row r="137" spans="1:14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 t="str">
        <f>VLOOKUP(D137, Products!$A$2:$F$61, 3, FALSE)</f>
        <v>Electronics</v>
      </c>
      <c r="M137" t="str">
        <f>VLOOKUP(E133, Sales_Reps!$A$2:$E$31, 3, FALSE)</f>
        <v>South</v>
      </c>
      <c r="N137">
        <f>VLOOKUP(D137, Products!$A$2:$F$61, 4, FALSE)</f>
        <v>2405</v>
      </c>
    </row>
    <row r="138" spans="1:14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 t="str">
        <f>VLOOKUP(D138, Products!$A$2:$F$61, 3, FALSE)</f>
        <v>Electronics</v>
      </c>
      <c r="M138" t="str">
        <f>VLOOKUP(E134, Sales_Reps!$A$2:$E$31, 3, FALSE)</f>
        <v>North</v>
      </c>
      <c r="N138">
        <f>VLOOKUP(D138, Products!$A$2:$F$61, 4, FALSE)</f>
        <v>2865</v>
      </c>
    </row>
    <row r="139" spans="1:14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 t="str">
        <f>VLOOKUP(D139, Products!$A$2:$F$61, 3, FALSE)</f>
        <v>Apparel</v>
      </c>
      <c r="M139" t="str">
        <f>VLOOKUP(E135, Sales_Reps!$A$2:$E$31, 3, FALSE)</f>
        <v>East</v>
      </c>
      <c r="N139">
        <f>VLOOKUP(D139, Products!$A$2:$F$61, 4, FALSE)</f>
        <v>1886</v>
      </c>
    </row>
    <row r="140" spans="1:14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 t="str">
        <f>VLOOKUP(D140, Products!$A$2:$F$61, 3, FALSE)</f>
        <v>Sports</v>
      </c>
      <c r="M140" t="str">
        <f>VLOOKUP(E136, Sales_Reps!$A$2:$E$31, 3, FALSE)</f>
        <v>South</v>
      </c>
      <c r="N140">
        <f>VLOOKUP(D140, Products!$A$2:$F$61, 4, FALSE)</f>
        <v>147</v>
      </c>
    </row>
    <row r="141" spans="1:14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 t="str">
        <f>VLOOKUP(D141, Products!$A$2:$F$61, 3, FALSE)</f>
        <v>Grocery</v>
      </c>
      <c r="M141" t="str">
        <f>VLOOKUP(E137, Sales_Reps!$A$2:$E$31, 3, FALSE)</f>
        <v>East</v>
      </c>
      <c r="N141">
        <f>VLOOKUP(D141, Products!$A$2:$F$61, 4, FALSE)</f>
        <v>1435</v>
      </c>
    </row>
    <row r="142" spans="1:14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 t="str">
        <f>VLOOKUP(D142, Products!$A$2:$F$61, 3, FALSE)</f>
        <v>Grocery</v>
      </c>
      <c r="M142" t="str">
        <f>VLOOKUP(E138, Sales_Reps!$A$2:$E$31, 3, FALSE)</f>
        <v>East</v>
      </c>
      <c r="N142">
        <f>VLOOKUP(D142, Products!$A$2:$F$61, 4, FALSE)</f>
        <v>1412</v>
      </c>
    </row>
    <row r="143" spans="1:14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 t="str">
        <f>VLOOKUP(D143, Products!$A$2:$F$61, 3, FALSE)</f>
        <v>Sports</v>
      </c>
      <c r="M143" t="str">
        <f>VLOOKUP(E139, Sales_Reps!$A$2:$E$31, 3, FALSE)</f>
        <v>East</v>
      </c>
      <c r="N143">
        <f>VLOOKUP(D143, Products!$A$2:$F$61, 4, FALSE)</f>
        <v>2265</v>
      </c>
    </row>
    <row r="144" spans="1:14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 t="str">
        <f>VLOOKUP(D144, Products!$A$2:$F$61, 3, FALSE)</f>
        <v>Grocery</v>
      </c>
      <c r="M144" t="str">
        <f>VLOOKUP(E140, Sales_Reps!$A$2:$E$31, 3, FALSE)</f>
        <v>South</v>
      </c>
      <c r="N144">
        <f>VLOOKUP(D144, Products!$A$2:$F$61, 4, FALSE)</f>
        <v>1203</v>
      </c>
    </row>
    <row r="145" spans="1:14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 t="str">
        <f>VLOOKUP(D145, Products!$A$2:$F$61, 3, FALSE)</f>
        <v>Apparel</v>
      </c>
      <c r="M145" t="str">
        <f>VLOOKUP(E141, Sales_Reps!$A$2:$E$31, 3, FALSE)</f>
        <v>North</v>
      </c>
      <c r="N145">
        <f>VLOOKUP(D145, Products!$A$2:$F$61, 4, FALSE)</f>
        <v>1886</v>
      </c>
    </row>
    <row r="146" spans="1:14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 t="str">
        <f>VLOOKUP(D146, Products!$A$2:$F$61, 3, FALSE)</f>
        <v>Grocery</v>
      </c>
      <c r="M146" t="str">
        <f>VLOOKUP(E142, Sales_Reps!$A$2:$E$31, 3, FALSE)</f>
        <v>East</v>
      </c>
      <c r="N146">
        <f>VLOOKUP(D146, Products!$A$2:$F$61, 4, FALSE)</f>
        <v>2911</v>
      </c>
    </row>
    <row r="147" spans="1:14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 t="str">
        <f>VLOOKUP(D147, Products!$A$2:$F$61, 3, FALSE)</f>
        <v>Apparel</v>
      </c>
      <c r="M147" t="str">
        <f>VLOOKUP(E143, Sales_Reps!$A$2:$E$31, 3, FALSE)</f>
        <v>North</v>
      </c>
      <c r="N147">
        <f>VLOOKUP(D147, Products!$A$2:$F$61, 4, FALSE)</f>
        <v>391</v>
      </c>
    </row>
    <row r="148" spans="1:14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 t="str">
        <f>VLOOKUP(D148, Products!$A$2:$F$61, 3, FALSE)</f>
        <v>Home</v>
      </c>
      <c r="M148" t="str">
        <f>VLOOKUP(E144, Sales_Reps!$A$2:$E$31, 3, FALSE)</f>
        <v>South</v>
      </c>
      <c r="N148">
        <f>VLOOKUP(D148, Products!$A$2:$F$61, 4, FALSE)</f>
        <v>288</v>
      </c>
    </row>
    <row r="149" spans="1:14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 t="str">
        <f>VLOOKUP(D149, Products!$A$2:$F$61, 3, FALSE)</f>
        <v>Home</v>
      </c>
      <c r="M149" t="str">
        <f>VLOOKUP(E145, Sales_Reps!$A$2:$E$31, 3, FALSE)</f>
        <v>North</v>
      </c>
      <c r="N149">
        <f>VLOOKUP(D149, Products!$A$2:$F$61, 4, FALSE)</f>
        <v>2459</v>
      </c>
    </row>
    <row r="150" spans="1:14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 t="str">
        <f>VLOOKUP(D150, Products!$A$2:$F$61, 3, FALSE)</f>
        <v>Grocery</v>
      </c>
      <c r="M150" t="str">
        <f>VLOOKUP(E146, Sales_Reps!$A$2:$E$31, 3, FALSE)</f>
        <v>West</v>
      </c>
      <c r="N150">
        <f>VLOOKUP(D150, Products!$A$2:$F$61, 4, FALSE)</f>
        <v>2027</v>
      </c>
    </row>
    <row r="151" spans="1:14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 t="str">
        <f>VLOOKUP(D151, Products!$A$2:$F$61, 3, FALSE)</f>
        <v>Electronics</v>
      </c>
      <c r="M151" t="str">
        <f>VLOOKUP(E147, Sales_Reps!$A$2:$E$31, 3, FALSE)</f>
        <v>East</v>
      </c>
      <c r="N151">
        <f>VLOOKUP(D151, Products!$A$2:$F$61, 4, FALSE)</f>
        <v>128</v>
      </c>
    </row>
    <row r="152" spans="1:14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 t="str">
        <f>VLOOKUP(D152, Products!$A$2:$F$61, 3, FALSE)</f>
        <v>Beauty</v>
      </c>
      <c r="M152" t="str">
        <f>VLOOKUP(E148, Sales_Reps!$A$2:$E$31, 3, FALSE)</f>
        <v>North</v>
      </c>
      <c r="N152">
        <f>VLOOKUP(D152, Products!$A$2:$F$61, 4, FALSE)</f>
        <v>2237</v>
      </c>
    </row>
    <row r="153" spans="1:14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 t="str">
        <f>VLOOKUP(D153, Products!$A$2:$F$61, 3, FALSE)</f>
        <v>Home</v>
      </c>
      <c r="M153" t="str">
        <f>VLOOKUP(E149, Sales_Reps!$A$2:$E$31, 3, FALSE)</f>
        <v>North</v>
      </c>
      <c r="N153">
        <f>VLOOKUP(D153, Products!$A$2:$F$61, 4, FALSE)</f>
        <v>2549</v>
      </c>
    </row>
    <row r="154" spans="1:14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 t="str">
        <f>VLOOKUP(D154, Products!$A$2:$F$61, 3, FALSE)</f>
        <v>Apparel</v>
      </c>
      <c r="M154" t="str">
        <f>VLOOKUP(E150, Sales_Reps!$A$2:$E$31, 3, FALSE)</f>
        <v>South</v>
      </c>
      <c r="N154">
        <f>VLOOKUP(D154, Products!$A$2:$F$61, 4, FALSE)</f>
        <v>1748</v>
      </c>
    </row>
    <row r="155" spans="1:14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 t="str">
        <f>VLOOKUP(D155, Products!$A$2:$F$61, 3, FALSE)</f>
        <v>Grocery</v>
      </c>
      <c r="M155" t="str">
        <f>VLOOKUP(E151, Sales_Reps!$A$2:$E$31, 3, FALSE)</f>
        <v>West</v>
      </c>
      <c r="N155">
        <f>VLOOKUP(D155, Products!$A$2:$F$61, 4, FALSE)</f>
        <v>1010</v>
      </c>
    </row>
    <row r="156" spans="1:14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 t="str">
        <f>VLOOKUP(D156, Products!$A$2:$F$61, 3, FALSE)</f>
        <v>Home</v>
      </c>
      <c r="M156" t="str">
        <f>VLOOKUP(E152, Sales_Reps!$A$2:$E$31, 3, FALSE)</f>
        <v>South</v>
      </c>
      <c r="N156">
        <f>VLOOKUP(D156, Products!$A$2:$F$61, 4, FALSE)</f>
        <v>1556</v>
      </c>
    </row>
    <row r="157" spans="1:14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 t="str">
        <f>VLOOKUP(D157, Products!$A$2:$F$61, 3, FALSE)</f>
        <v>Apparel</v>
      </c>
      <c r="M157" t="str">
        <f>VLOOKUP(E153, Sales_Reps!$A$2:$E$31, 3, FALSE)</f>
        <v>South</v>
      </c>
      <c r="N157">
        <f>VLOOKUP(D157, Products!$A$2:$F$61, 4, FALSE)</f>
        <v>1886</v>
      </c>
    </row>
    <row r="158" spans="1:14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 t="str">
        <f>VLOOKUP(D158, Products!$A$2:$F$61, 3, FALSE)</f>
        <v>Electronics</v>
      </c>
      <c r="M158" t="str">
        <f>VLOOKUP(E154, Sales_Reps!$A$2:$E$31, 3, FALSE)</f>
        <v>South</v>
      </c>
      <c r="N158">
        <f>VLOOKUP(D158, Products!$A$2:$F$61, 4, FALSE)</f>
        <v>1559</v>
      </c>
    </row>
    <row r="159" spans="1:14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 t="str">
        <f>VLOOKUP(D159, Products!$A$2:$F$61, 3, FALSE)</f>
        <v>Sports</v>
      </c>
      <c r="M159" t="str">
        <f>VLOOKUP(E155, Sales_Reps!$A$2:$E$31, 3, FALSE)</f>
        <v>North</v>
      </c>
      <c r="N159">
        <f>VLOOKUP(D159, Products!$A$2:$F$61, 4, FALSE)</f>
        <v>1860</v>
      </c>
    </row>
    <row r="160" spans="1:14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 t="str">
        <f>VLOOKUP(D160, Products!$A$2:$F$61, 3, FALSE)</f>
        <v>Beauty</v>
      </c>
      <c r="M160" t="str">
        <f>VLOOKUP(E156, Sales_Reps!$A$2:$E$31, 3, FALSE)</f>
        <v>South</v>
      </c>
      <c r="N160">
        <f>VLOOKUP(D160, Products!$A$2:$F$61, 4, FALSE)</f>
        <v>1626</v>
      </c>
    </row>
    <row r="161" spans="1:14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 t="str">
        <f>VLOOKUP(D161, Products!$A$2:$F$61, 3, FALSE)</f>
        <v>Home</v>
      </c>
      <c r="M161" t="str">
        <f>VLOOKUP(E157, Sales_Reps!$A$2:$E$31, 3, FALSE)</f>
        <v>North</v>
      </c>
      <c r="N161">
        <f>VLOOKUP(D161, Products!$A$2:$F$61, 4, FALSE)</f>
        <v>2135</v>
      </c>
    </row>
    <row r="162" spans="1:14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 t="str">
        <f>VLOOKUP(D162, Products!$A$2:$F$61, 3, FALSE)</f>
        <v>Beauty</v>
      </c>
      <c r="M162" t="str">
        <f>VLOOKUP(E158, Sales_Reps!$A$2:$E$31, 3, FALSE)</f>
        <v>West</v>
      </c>
      <c r="N162">
        <f>VLOOKUP(D162, Products!$A$2:$F$61, 4, FALSE)</f>
        <v>2768</v>
      </c>
    </row>
    <row r="163" spans="1:14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 t="str">
        <f>VLOOKUP(D163, Products!$A$2:$F$61, 3, FALSE)</f>
        <v>Grocery</v>
      </c>
      <c r="M163" t="str">
        <f>VLOOKUP(E159, Sales_Reps!$A$2:$E$31, 3, FALSE)</f>
        <v>East</v>
      </c>
      <c r="N163">
        <f>VLOOKUP(D163, Products!$A$2:$F$61, 4, FALSE)</f>
        <v>434</v>
      </c>
    </row>
    <row r="164" spans="1:14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 t="str">
        <f>VLOOKUP(D164, Products!$A$2:$F$61, 3, FALSE)</f>
        <v>Electronics</v>
      </c>
      <c r="M164" t="str">
        <f>VLOOKUP(E160, Sales_Reps!$A$2:$E$31, 3, FALSE)</f>
        <v>East</v>
      </c>
      <c r="N164">
        <f>VLOOKUP(D164, Products!$A$2:$F$61, 4, FALSE)</f>
        <v>1259</v>
      </c>
    </row>
    <row r="165" spans="1:14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 t="str">
        <f>VLOOKUP(D165, Products!$A$2:$F$61, 3, FALSE)</f>
        <v>Apparel</v>
      </c>
      <c r="M165" t="str">
        <f>VLOOKUP(E161, Sales_Reps!$A$2:$E$31, 3, FALSE)</f>
        <v>South</v>
      </c>
      <c r="N165">
        <f>VLOOKUP(D165, Products!$A$2:$F$61, 4, FALSE)</f>
        <v>391</v>
      </c>
    </row>
    <row r="166" spans="1:14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 t="str">
        <f>VLOOKUP(D166, Products!$A$2:$F$61, 3, FALSE)</f>
        <v>Home</v>
      </c>
      <c r="M166" t="str">
        <f>VLOOKUP(E162, Sales_Reps!$A$2:$E$31, 3, FALSE)</f>
        <v>East</v>
      </c>
      <c r="N166">
        <f>VLOOKUP(D166, Products!$A$2:$F$61, 4, FALSE)</f>
        <v>1143</v>
      </c>
    </row>
    <row r="167" spans="1:14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 t="str">
        <f>VLOOKUP(D167, Products!$A$2:$F$61, 3, FALSE)</f>
        <v>Apparel</v>
      </c>
      <c r="M167" t="str">
        <f>VLOOKUP(E163, Sales_Reps!$A$2:$E$31, 3, FALSE)</f>
        <v>West</v>
      </c>
      <c r="N167">
        <f>VLOOKUP(D167, Products!$A$2:$F$61, 4, FALSE)</f>
        <v>396</v>
      </c>
    </row>
    <row r="168" spans="1:14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 t="str">
        <f>VLOOKUP(D168, Products!$A$2:$F$61, 3, FALSE)</f>
        <v>Grocery</v>
      </c>
      <c r="M168" t="str">
        <f>VLOOKUP(E164, Sales_Reps!$A$2:$E$31, 3, FALSE)</f>
        <v>East</v>
      </c>
      <c r="N168">
        <f>VLOOKUP(D168, Products!$A$2:$F$61, 4, FALSE)</f>
        <v>1412</v>
      </c>
    </row>
    <row r="169" spans="1:14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 t="str">
        <f>VLOOKUP(D169, Products!$A$2:$F$61, 3, FALSE)</f>
        <v>Sports</v>
      </c>
      <c r="M169" t="str">
        <f>VLOOKUP(E165, Sales_Reps!$A$2:$E$31, 3, FALSE)</f>
        <v>South</v>
      </c>
      <c r="N169">
        <f>VLOOKUP(D169, Products!$A$2:$F$61, 4, FALSE)</f>
        <v>302</v>
      </c>
    </row>
    <row r="170" spans="1:14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 t="str">
        <f>VLOOKUP(D170, Products!$A$2:$F$61, 3, FALSE)</f>
        <v>Electronics</v>
      </c>
      <c r="M170" t="str">
        <f>VLOOKUP(E166, Sales_Reps!$A$2:$E$31, 3, FALSE)</f>
        <v>South</v>
      </c>
      <c r="N170">
        <f>VLOOKUP(D170, Products!$A$2:$F$61, 4, FALSE)</f>
        <v>2405</v>
      </c>
    </row>
    <row r="171" spans="1:14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 t="str">
        <f>VLOOKUP(D171, Products!$A$2:$F$61, 3, FALSE)</f>
        <v>Beauty</v>
      </c>
      <c r="M171" t="str">
        <f>VLOOKUP(E167, Sales_Reps!$A$2:$E$31, 3, FALSE)</f>
        <v>South</v>
      </c>
      <c r="N171">
        <f>VLOOKUP(D171, Products!$A$2:$F$61, 4, FALSE)</f>
        <v>2617</v>
      </c>
    </row>
    <row r="172" spans="1:14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 t="str">
        <f>VLOOKUP(D172, Products!$A$2:$F$61, 3, FALSE)</f>
        <v>Grocery</v>
      </c>
      <c r="M172" t="str">
        <f>VLOOKUP(E168, Sales_Reps!$A$2:$E$31, 3, FALSE)</f>
        <v>East</v>
      </c>
      <c r="N172">
        <f>VLOOKUP(D172, Products!$A$2:$F$61, 4, FALSE)</f>
        <v>2436</v>
      </c>
    </row>
    <row r="173" spans="1:14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 t="str">
        <f>VLOOKUP(D173, Products!$A$2:$F$61, 3, FALSE)</f>
        <v>Apparel</v>
      </c>
      <c r="M173" t="str">
        <f>VLOOKUP(E169, Sales_Reps!$A$2:$E$31, 3, FALSE)</f>
        <v>South</v>
      </c>
      <c r="N173">
        <f>VLOOKUP(D173, Products!$A$2:$F$61, 4, FALSE)</f>
        <v>396</v>
      </c>
    </row>
    <row r="174" spans="1:14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 t="str">
        <f>VLOOKUP(D174, Products!$A$2:$F$61, 3, FALSE)</f>
        <v>Apparel</v>
      </c>
      <c r="M174" t="str">
        <f>VLOOKUP(E170, Sales_Reps!$A$2:$E$31, 3, FALSE)</f>
        <v>North</v>
      </c>
      <c r="N174">
        <f>VLOOKUP(D174, Products!$A$2:$F$61, 4, FALSE)</f>
        <v>1075</v>
      </c>
    </row>
    <row r="175" spans="1:14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 t="str">
        <f>VLOOKUP(D175, Products!$A$2:$F$61, 3, FALSE)</f>
        <v>Apparel</v>
      </c>
      <c r="M175" t="str">
        <f>VLOOKUP(E171, Sales_Reps!$A$2:$E$31, 3, FALSE)</f>
        <v>North</v>
      </c>
      <c r="N175">
        <f>VLOOKUP(D175, Products!$A$2:$F$61, 4, FALSE)</f>
        <v>1962</v>
      </c>
    </row>
    <row r="176" spans="1:14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 t="str">
        <f>VLOOKUP(D176, Products!$A$2:$F$61, 3, FALSE)</f>
        <v>Sports</v>
      </c>
      <c r="M176" t="str">
        <f>VLOOKUP(E172, Sales_Reps!$A$2:$E$31, 3, FALSE)</f>
        <v>East</v>
      </c>
      <c r="N176">
        <f>VLOOKUP(D176, Products!$A$2:$F$61, 4, FALSE)</f>
        <v>302</v>
      </c>
    </row>
    <row r="177" spans="1:14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 t="str">
        <f>VLOOKUP(D177, Products!$A$2:$F$61, 3, FALSE)</f>
        <v>Home</v>
      </c>
      <c r="M177" t="str">
        <f>VLOOKUP(E173, Sales_Reps!$A$2:$E$31, 3, FALSE)</f>
        <v>South</v>
      </c>
      <c r="N177">
        <f>VLOOKUP(D177, Products!$A$2:$F$61, 4, FALSE)</f>
        <v>1556</v>
      </c>
    </row>
    <row r="178" spans="1:14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 t="str">
        <f>VLOOKUP(D178, Products!$A$2:$F$61, 3, FALSE)</f>
        <v>Home</v>
      </c>
      <c r="M178" t="str">
        <f>VLOOKUP(E174, Sales_Reps!$A$2:$E$31, 3, FALSE)</f>
        <v>West</v>
      </c>
      <c r="N178">
        <f>VLOOKUP(D178, Products!$A$2:$F$61, 4, FALSE)</f>
        <v>2459</v>
      </c>
    </row>
    <row r="179" spans="1:14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 t="str">
        <f>VLOOKUP(D179, Products!$A$2:$F$61, 3, FALSE)</f>
        <v>Electronics</v>
      </c>
      <c r="M179" t="str">
        <f>VLOOKUP(E175, Sales_Reps!$A$2:$E$31, 3, FALSE)</f>
        <v>East</v>
      </c>
      <c r="N179">
        <f>VLOOKUP(D179, Products!$A$2:$F$61, 4, FALSE)</f>
        <v>1665</v>
      </c>
    </row>
    <row r="180" spans="1:14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 t="str">
        <f>VLOOKUP(D180, Products!$A$2:$F$61, 3, FALSE)</f>
        <v>Apparel</v>
      </c>
      <c r="M180" t="str">
        <f>VLOOKUP(E176, Sales_Reps!$A$2:$E$31, 3, FALSE)</f>
        <v>East</v>
      </c>
      <c r="N180">
        <f>VLOOKUP(D180, Products!$A$2:$F$61, 4, FALSE)</f>
        <v>2611</v>
      </c>
    </row>
    <row r="181" spans="1:14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 t="str">
        <f>VLOOKUP(D181, Products!$A$2:$F$61, 3, FALSE)</f>
        <v>Grocery</v>
      </c>
      <c r="M181" t="str">
        <f>VLOOKUP(E177, Sales_Reps!$A$2:$E$31, 3, FALSE)</f>
        <v>East</v>
      </c>
      <c r="N181">
        <f>VLOOKUP(D181, Products!$A$2:$F$61, 4, FALSE)</f>
        <v>2027</v>
      </c>
    </row>
    <row r="182" spans="1:14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 t="str">
        <f>VLOOKUP(D182, Products!$A$2:$F$61, 3, FALSE)</f>
        <v>Apparel</v>
      </c>
      <c r="M182" t="str">
        <f>VLOOKUP(E178, Sales_Reps!$A$2:$E$31, 3, FALSE)</f>
        <v>West</v>
      </c>
      <c r="N182">
        <f>VLOOKUP(D182, Products!$A$2:$F$61, 4, FALSE)</f>
        <v>1748</v>
      </c>
    </row>
    <row r="183" spans="1:14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 t="str">
        <f>VLOOKUP(D183, Products!$A$2:$F$61, 3, FALSE)</f>
        <v>Home</v>
      </c>
      <c r="M183" t="str">
        <f>VLOOKUP(E179, Sales_Reps!$A$2:$E$31, 3, FALSE)</f>
        <v>South</v>
      </c>
      <c r="N183">
        <f>VLOOKUP(D183, Products!$A$2:$F$61, 4, FALSE)</f>
        <v>2459</v>
      </c>
    </row>
    <row r="184" spans="1:14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 t="str">
        <f>VLOOKUP(D184, Products!$A$2:$F$61, 3, FALSE)</f>
        <v>Grocery</v>
      </c>
      <c r="M184" t="str">
        <f>VLOOKUP(E180, Sales_Reps!$A$2:$E$31, 3, FALSE)</f>
        <v>South</v>
      </c>
      <c r="N184">
        <f>VLOOKUP(D184, Products!$A$2:$F$61, 4, FALSE)</f>
        <v>1435</v>
      </c>
    </row>
    <row r="185" spans="1:14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 t="str">
        <f>VLOOKUP(D185, Products!$A$2:$F$61, 3, FALSE)</f>
        <v>Beauty</v>
      </c>
      <c r="M185" t="str">
        <f>VLOOKUP(E181, Sales_Reps!$A$2:$E$31, 3, FALSE)</f>
        <v>North</v>
      </c>
      <c r="N185">
        <f>VLOOKUP(D185, Products!$A$2:$F$61, 4, FALSE)</f>
        <v>1222</v>
      </c>
    </row>
    <row r="186" spans="1:14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 t="str">
        <f>VLOOKUP(D186, Products!$A$2:$F$61, 3, FALSE)</f>
        <v>Electronics</v>
      </c>
      <c r="M186" t="str">
        <f>VLOOKUP(E182, Sales_Reps!$A$2:$E$31, 3, FALSE)</f>
        <v>South</v>
      </c>
      <c r="N186">
        <f>VLOOKUP(D186, Products!$A$2:$F$61, 4, FALSE)</f>
        <v>1559</v>
      </c>
    </row>
    <row r="187" spans="1:14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 t="str">
        <f>VLOOKUP(D187, Products!$A$2:$F$61, 3, FALSE)</f>
        <v>Home</v>
      </c>
      <c r="M187" t="str">
        <f>VLOOKUP(E183, Sales_Reps!$A$2:$E$31, 3, FALSE)</f>
        <v>West</v>
      </c>
      <c r="N187">
        <f>VLOOKUP(D187, Products!$A$2:$F$61, 4, FALSE)</f>
        <v>464</v>
      </c>
    </row>
    <row r="188" spans="1:14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 t="str">
        <f>VLOOKUP(D188, Products!$A$2:$F$61, 3, FALSE)</f>
        <v>Beauty</v>
      </c>
      <c r="M188" t="str">
        <f>VLOOKUP(E184, Sales_Reps!$A$2:$E$31, 3, FALSE)</f>
        <v>West</v>
      </c>
      <c r="N188">
        <f>VLOOKUP(D188, Products!$A$2:$F$61, 4, FALSE)</f>
        <v>675</v>
      </c>
    </row>
    <row r="189" spans="1:14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 t="str">
        <f>VLOOKUP(D189, Products!$A$2:$F$61, 3, FALSE)</f>
        <v>Beauty</v>
      </c>
      <c r="M189" t="str">
        <f>VLOOKUP(E185, Sales_Reps!$A$2:$E$31, 3, FALSE)</f>
        <v>South</v>
      </c>
      <c r="N189">
        <f>VLOOKUP(D189, Products!$A$2:$F$61, 4, FALSE)</f>
        <v>1728</v>
      </c>
    </row>
    <row r="190" spans="1:14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 t="str">
        <f>VLOOKUP(D190, Products!$A$2:$F$61, 3, FALSE)</f>
        <v>Grocery</v>
      </c>
      <c r="M190" t="str">
        <f>VLOOKUP(E186, Sales_Reps!$A$2:$E$31, 3, FALSE)</f>
        <v>North</v>
      </c>
      <c r="N190">
        <f>VLOOKUP(D190, Products!$A$2:$F$61, 4, FALSE)</f>
        <v>1412</v>
      </c>
    </row>
    <row r="191" spans="1:14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 t="str">
        <f>VLOOKUP(D191, Products!$A$2:$F$61, 3, FALSE)</f>
        <v>Home</v>
      </c>
      <c r="M191" t="str">
        <f>VLOOKUP(E187, Sales_Reps!$A$2:$E$31, 3, FALSE)</f>
        <v>East</v>
      </c>
      <c r="N191">
        <f>VLOOKUP(D191, Products!$A$2:$F$61, 4, FALSE)</f>
        <v>1850</v>
      </c>
    </row>
    <row r="192" spans="1:14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 t="str">
        <f>VLOOKUP(D192, Products!$A$2:$F$61, 3, FALSE)</f>
        <v>Apparel</v>
      </c>
      <c r="M192" t="str">
        <f>VLOOKUP(E188, Sales_Reps!$A$2:$E$31, 3, FALSE)</f>
        <v>West</v>
      </c>
      <c r="N192">
        <f>VLOOKUP(D192, Products!$A$2:$F$61, 4, FALSE)</f>
        <v>1886</v>
      </c>
    </row>
    <row r="193" spans="1:14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 t="str">
        <f>VLOOKUP(D193, Products!$A$2:$F$61, 3, FALSE)</f>
        <v>Grocery</v>
      </c>
      <c r="M193" t="str">
        <f>VLOOKUP(E189, Sales_Reps!$A$2:$E$31, 3, FALSE)</f>
        <v>East</v>
      </c>
      <c r="N193">
        <f>VLOOKUP(D193, Products!$A$2:$F$61, 4, FALSE)</f>
        <v>1412</v>
      </c>
    </row>
    <row r="194" spans="1:14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 t="str">
        <f>VLOOKUP(D194, Products!$A$2:$F$61, 3, FALSE)</f>
        <v>Beauty</v>
      </c>
      <c r="M194" t="str">
        <f>VLOOKUP(E190, Sales_Reps!$A$2:$E$31, 3, FALSE)</f>
        <v>North</v>
      </c>
      <c r="N194">
        <f>VLOOKUP(D194, Products!$A$2:$F$61, 4, FALSE)</f>
        <v>1626</v>
      </c>
    </row>
    <row r="195" spans="1:14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 t="str">
        <f>VLOOKUP(D195, Products!$A$2:$F$61, 3, FALSE)</f>
        <v>Sports</v>
      </c>
      <c r="M195" t="str">
        <f>VLOOKUP(E191, Sales_Reps!$A$2:$E$31, 3, FALSE)</f>
        <v>East</v>
      </c>
      <c r="N195">
        <f>VLOOKUP(D195, Products!$A$2:$F$61, 4, FALSE)</f>
        <v>2827</v>
      </c>
    </row>
    <row r="196" spans="1:14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 t="str">
        <f>VLOOKUP(D196, Products!$A$2:$F$61, 3, FALSE)</f>
        <v>Beauty</v>
      </c>
      <c r="M196" t="str">
        <f>VLOOKUP(E192, Sales_Reps!$A$2:$E$31, 3, FALSE)</f>
        <v>South</v>
      </c>
      <c r="N196">
        <f>VLOOKUP(D196, Products!$A$2:$F$61, 4, FALSE)</f>
        <v>647</v>
      </c>
    </row>
    <row r="197" spans="1:14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 t="str">
        <f>VLOOKUP(D197, Products!$A$2:$F$61, 3, FALSE)</f>
        <v>Apparel</v>
      </c>
      <c r="M197" t="str">
        <f>VLOOKUP(E193, Sales_Reps!$A$2:$E$31, 3, FALSE)</f>
        <v>North</v>
      </c>
      <c r="N197">
        <f>VLOOKUP(D197, Products!$A$2:$F$61, 4, FALSE)</f>
        <v>1173</v>
      </c>
    </row>
    <row r="198" spans="1:14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 t="str">
        <f>VLOOKUP(D198, Products!$A$2:$F$61, 3, FALSE)</f>
        <v>Sports</v>
      </c>
      <c r="M198" t="str">
        <f>VLOOKUP(E194, Sales_Reps!$A$2:$E$31, 3, FALSE)</f>
        <v>West</v>
      </c>
      <c r="N198">
        <f>VLOOKUP(D198, Products!$A$2:$F$61, 4, FALSE)</f>
        <v>147</v>
      </c>
    </row>
    <row r="199" spans="1:14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 t="str">
        <f>VLOOKUP(D199, Products!$A$2:$F$61, 3, FALSE)</f>
        <v>Sports</v>
      </c>
      <c r="M199" t="str">
        <f>VLOOKUP(E195, Sales_Reps!$A$2:$E$31, 3, FALSE)</f>
        <v>West</v>
      </c>
      <c r="N199">
        <f>VLOOKUP(D199, Products!$A$2:$F$61, 4, FALSE)</f>
        <v>2028</v>
      </c>
    </row>
    <row r="200" spans="1:14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 t="str">
        <f>VLOOKUP(D200, Products!$A$2:$F$61, 3, FALSE)</f>
        <v>Apparel</v>
      </c>
      <c r="M200" t="str">
        <f>VLOOKUP(E196, Sales_Reps!$A$2:$E$31, 3, FALSE)</f>
        <v>South</v>
      </c>
      <c r="N200">
        <f>VLOOKUP(D200, Products!$A$2:$F$61, 4, FALSE)</f>
        <v>1075</v>
      </c>
    </row>
    <row r="201" spans="1:14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 t="str">
        <f>VLOOKUP(D201, Products!$A$2:$F$61, 3, FALSE)</f>
        <v>Electronics</v>
      </c>
      <c r="M201" t="str">
        <f>VLOOKUP(E197, Sales_Reps!$A$2:$E$31, 3, FALSE)</f>
        <v>West</v>
      </c>
      <c r="N201">
        <f>VLOOKUP(D201, Products!$A$2:$F$61, 4, FALSE)</f>
        <v>1665</v>
      </c>
    </row>
    <row r="202" spans="1:14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 t="str">
        <f>VLOOKUP(D202, Products!$A$2:$F$61, 3, FALSE)</f>
        <v>Home</v>
      </c>
      <c r="M202" t="str">
        <f>VLOOKUP(E198, Sales_Reps!$A$2:$E$31, 3, FALSE)</f>
        <v>East</v>
      </c>
      <c r="N202">
        <f>VLOOKUP(D202, Products!$A$2:$F$61, 4, FALSE)</f>
        <v>2135</v>
      </c>
    </row>
    <row r="203" spans="1:14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 t="str">
        <f>VLOOKUP(D203, Products!$A$2:$F$61, 3, FALSE)</f>
        <v>Home</v>
      </c>
      <c r="M203" t="str">
        <f>VLOOKUP(E199, Sales_Reps!$A$2:$E$31, 3, FALSE)</f>
        <v>South</v>
      </c>
      <c r="N203">
        <f>VLOOKUP(D203, Products!$A$2:$F$61, 4, FALSE)</f>
        <v>288</v>
      </c>
    </row>
    <row r="204" spans="1:14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 t="str">
        <f>VLOOKUP(D204, Products!$A$2:$F$61, 3, FALSE)</f>
        <v>Electronics</v>
      </c>
      <c r="M204" t="str">
        <f>VLOOKUP(E200, Sales_Reps!$A$2:$E$31, 3, FALSE)</f>
        <v>South</v>
      </c>
      <c r="N204">
        <f>VLOOKUP(D204, Products!$A$2:$F$61, 4, FALSE)</f>
        <v>1259</v>
      </c>
    </row>
    <row r="205" spans="1:14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 t="str">
        <f>VLOOKUP(D205, Products!$A$2:$F$61, 3, FALSE)</f>
        <v>Grocery</v>
      </c>
      <c r="M205" t="str">
        <f>VLOOKUP(E201, Sales_Reps!$A$2:$E$31, 3, FALSE)</f>
        <v>North</v>
      </c>
      <c r="N205">
        <f>VLOOKUP(D205, Products!$A$2:$F$61, 4, FALSE)</f>
        <v>1435</v>
      </c>
    </row>
    <row r="206" spans="1:14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 t="str">
        <f>VLOOKUP(D206, Products!$A$2:$F$61, 3, FALSE)</f>
        <v>Beauty</v>
      </c>
      <c r="M206" t="str">
        <f>VLOOKUP(E202, Sales_Reps!$A$2:$E$31, 3, FALSE)</f>
        <v>South</v>
      </c>
      <c r="N206">
        <f>VLOOKUP(D206, Products!$A$2:$F$61, 4, FALSE)</f>
        <v>1728</v>
      </c>
    </row>
    <row r="207" spans="1:14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 t="str">
        <f>VLOOKUP(D207, Products!$A$2:$F$61, 3, FALSE)</f>
        <v>Electronics</v>
      </c>
      <c r="M207" t="str">
        <f>VLOOKUP(E203, Sales_Reps!$A$2:$E$31, 3, FALSE)</f>
        <v>West</v>
      </c>
      <c r="N207">
        <f>VLOOKUP(D207, Products!$A$2:$F$61, 4, FALSE)</f>
        <v>128</v>
      </c>
    </row>
    <row r="208" spans="1:14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 t="str">
        <f>VLOOKUP(D208, Products!$A$2:$F$61, 3, FALSE)</f>
        <v>Apparel</v>
      </c>
      <c r="M208" t="str">
        <f>VLOOKUP(E204, Sales_Reps!$A$2:$E$31, 3, FALSE)</f>
        <v>South</v>
      </c>
      <c r="N208">
        <f>VLOOKUP(D208, Products!$A$2:$F$61, 4, FALSE)</f>
        <v>1962</v>
      </c>
    </row>
    <row r="209" spans="1:14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 t="str">
        <f>VLOOKUP(D209, Products!$A$2:$F$61, 3, FALSE)</f>
        <v>Electronics</v>
      </c>
      <c r="M209" t="str">
        <f>VLOOKUP(E205, Sales_Reps!$A$2:$E$31, 3, FALSE)</f>
        <v>South</v>
      </c>
      <c r="N209">
        <f>VLOOKUP(D209, Products!$A$2:$F$61, 4, FALSE)</f>
        <v>1559</v>
      </c>
    </row>
    <row r="210" spans="1:14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 t="str">
        <f>VLOOKUP(D210, Products!$A$2:$F$61, 3, FALSE)</f>
        <v>Home</v>
      </c>
      <c r="M210" t="str">
        <f>VLOOKUP(E206, Sales_Reps!$A$2:$E$31, 3, FALSE)</f>
        <v>South</v>
      </c>
      <c r="N210">
        <f>VLOOKUP(D210, Products!$A$2:$F$61, 4, FALSE)</f>
        <v>2135</v>
      </c>
    </row>
    <row r="211" spans="1:14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 t="str">
        <f>VLOOKUP(D211, Products!$A$2:$F$61, 3, FALSE)</f>
        <v>Apparel</v>
      </c>
      <c r="M211" t="str">
        <f>VLOOKUP(E207, Sales_Reps!$A$2:$E$31, 3, FALSE)</f>
        <v>East</v>
      </c>
      <c r="N211">
        <f>VLOOKUP(D211, Products!$A$2:$F$61, 4, FALSE)</f>
        <v>1173</v>
      </c>
    </row>
    <row r="212" spans="1:14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 t="str">
        <f>VLOOKUP(D212, Products!$A$2:$F$61, 3, FALSE)</f>
        <v>Sports</v>
      </c>
      <c r="M212" t="str">
        <f>VLOOKUP(E208, Sales_Reps!$A$2:$E$31, 3, FALSE)</f>
        <v>North</v>
      </c>
      <c r="N212">
        <f>VLOOKUP(D212, Products!$A$2:$F$61, 4, FALSE)</f>
        <v>705</v>
      </c>
    </row>
    <row r="213" spans="1:14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 t="str">
        <f>VLOOKUP(D213, Products!$A$2:$F$61, 3, FALSE)</f>
        <v>Beauty</v>
      </c>
      <c r="M213" t="str">
        <f>VLOOKUP(E209, Sales_Reps!$A$2:$E$31, 3, FALSE)</f>
        <v>South</v>
      </c>
      <c r="N213">
        <f>VLOOKUP(D213, Products!$A$2:$F$61, 4, FALSE)</f>
        <v>2768</v>
      </c>
    </row>
    <row r="214" spans="1:14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 t="str">
        <f>VLOOKUP(D214, Products!$A$2:$F$61, 3, FALSE)</f>
        <v>Apparel</v>
      </c>
      <c r="M214" t="str">
        <f>VLOOKUP(E210, Sales_Reps!$A$2:$E$31, 3, FALSE)</f>
        <v>South</v>
      </c>
      <c r="N214">
        <f>VLOOKUP(D214, Products!$A$2:$F$61, 4, FALSE)</f>
        <v>2509</v>
      </c>
    </row>
    <row r="215" spans="1:14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 t="str">
        <f>VLOOKUP(D215, Products!$A$2:$F$61, 3, FALSE)</f>
        <v>Electronics</v>
      </c>
      <c r="M215" t="str">
        <f>VLOOKUP(E211, Sales_Reps!$A$2:$E$31, 3, FALSE)</f>
        <v>South</v>
      </c>
      <c r="N215">
        <f>VLOOKUP(D215, Products!$A$2:$F$61, 4, FALSE)</f>
        <v>2865</v>
      </c>
    </row>
    <row r="216" spans="1:14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 t="str">
        <f>VLOOKUP(D216, Products!$A$2:$F$61, 3, FALSE)</f>
        <v>Grocery</v>
      </c>
      <c r="M216" t="str">
        <f>VLOOKUP(E212, Sales_Reps!$A$2:$E$31, 3, FALSE)</f>
        <v>East</v>
      </c>
      <c r="N216">
        <f>VLOOKUP(D216, Products!$A$2:$F$61, 4, FALSE)</f>
        <v>1412</v>
      </c>
    </row>
    <row r="217" spans="1:14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 t="str">
        <f>VLOOKUP(D217, Products!$A$2:$F$61, 3, FALSE)</f>
        <v>Grocery</v>
      </c>
      <c r="M217" t="str">
        <f>VLOOKUP(E213, Sales_Reps!$A$2:$E$31, 3, FALSE)</f>
        <v>East</v>
      </c>
      <c r="N217">
        <f>VLOOKUP(D217, Products!$A$2:$F$61, 4, FALSE)</f>
        <v>2436</v>
      </c>
    </row>
    <row r="218" spans="1:14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 t="str">
        <f>VLOOKUP(D218, Products!$A$2:$F$61, 3, FALSE)</f>
        <v>Grocery</v>
      </c>
      <c r="M218" t="str">
        <f>VLOOKUP(E214, Sales_Reps!$A$2:$E$31, 3, FALSE)</f>
        <v>West</v>
      </c>
      <c r="N218">
        <f>VLOOKUP(D218, Products!$A$2:$F$61, 4, FALSE)</f>
        <v>2027</v>
      </c>
    </row>
    <row r="219" spans="1:14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 t="str">
        <f>VLOOKUP(D219, Products!$A$2:$F$61, 3, FALSE)</f>
        <v>Electronics</v>
      </c>
      <c r="M219" t="str">
        <f>VLOOKUP(E215, Sales_Reps!$A$2:$E$31, 3, FALSE)</f>
        <v>North</v>
      </c>
      <c r="N219">
        <f>VLOOKUP(D219, Products!$A$2:$F$61, 4, FALSE)</f>
        <v>1259</v>
      </c>
    </row>
    <row r="220" spans="1:14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 t="str">
        <f>VLOOKUP(D220, Products!$A$2:$F$61, 3, FALSE)</f>
        <v>Electronics</v>
      </c>
      <c r="M220" t="str">
        <f>VLOOKUP(E216, Sales_Reps!$A$2:$E$31, 3, FALSE)</f>
        <v>West</v>
      </c>
      <c r="N220">
        <f>VLOOKUP(D220, Products!$A$2:$F$61, 4, FALSE)</f>
        <v>1665</v>
      </c>
    </row>
    <row r="221" spans="1:14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 t="str">
        <f>VLOOKUP(D221, Products!$A$2:$F$61, 3, FALSE)</f>
        <v>Beauty</v>
      </c>
      <c r="M221" t="str">
        <f>VLOOKUP(E217, Sales_Reps!$A$2:$E$31, 3, FALSE)</f>
        <v>South</v>
      </c>
      <c r="N221">
        <f>VLOOKUP(D221, Products!$A$2:$F$61, 4, FALSE)</f>
        <v>675</v>
      </c>
    </row>
    <row r="222" spans="1:14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 t="str">
        <f>VLOOKUP(D222, Products!$A$2:$F$61, 3, FALSE)</f>
        <v>Beauty</v>
      </c>
      <c r="M222" t="str">
        <f>VLOOKUP(E218, Sales_Reps!$A$2:$E$31, 3, FALSE)</f>
        <v>East</v>
      </c>
      <c r="N222">
        <f>VLOOKUP(D222, Products!$A$2:$F$61, 4, FALSE)</f>
        <v>2420</v>
      </c>
    </row>
    <row r="223" spans="1:14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 t="str">
        <f>VLOOKUP(D223, Products!$A$2:$F$61, 3, FALSE)</f>
        <v>Beauty</v>
      </c>
      <c r="M223" t="str">
        <f>VLOOKUP(E219, Sales_Reps!$A$2:$E$31, 3, FALSE)</f>
        <v>North</v>
      </c>
      <c r="N223">
        <f>VLOOKUP(D223, Products!$A$2:$F$61, 4, FALSE)</f>
        <v>2237</v>
      </c>
    </row>
    <row r="224" spans="1:14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 t="str">
        <f>VLOOKUP(D224, Products!$A$2:$F$61, 3, FALSE)</f>
        <v>Electronics</v>
      </c>
      <c r="M224" t="str">
        <f>VLOOKUP(E220, Sales_Reps!$A$2:$E$31, 3, FALSE)</f>
        <v>North</v>
      </c>
      <c r="N224">
        <f>VLOOKUP(D224, Products!$A$2:$F$61, 4, FALSE)</f>
        <v>128</v>
      </c>
    </row>
    <row r="225" spans="1:14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 t="str">
        <f>VLOOKUP(D225, Products!$A$2:$F$61, 3, FALSE)</f>
        <v>Beauty</v>
      </c>
      <c r="M225" t="str">
        <f>VLOOKUP(E221, Sales_Reps!$A$2:$E$31, 3, FALSE)</f>
        <v>North</v>
      </c>
      <c r="N225">
        <f>VLOOKUP(D225, Products!$A$2:$F$61, 4, FALSE)</f>
        <v>2768</v>
      </c>
    </row>
    <row r="226" spans="1:14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 t="str">
        <f>VLOOKUP(D226, Products!$A$2:$F$61, 3, FALSE)</f>
        <v>Home</v>
      </c>
      <c r="M226" t="str">
        <f>VLOOKUP(E222, Sales_Reps!$A$2:$E$31, 3, FALSE)</f>
        <v>East</v>
      </c>
      <c r="N226">
        <f>VLOOKUP(D226, Products!$A$2:$F$61, 4, FALSE)</f>
        <v>1556</v>
      </c>
    </row>
    <row r="227" spans="1:14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 t="str">
        <f>VLOOKUP(D227, Products!$A$2:$F$61, 3, FALSE)</f>
        <v>Beauty</v>
      </c>
      <c r="M227" t="str">
        <f>VLOOKUP(E223, Sales_Reps!$A$2:$E$31, 3, FALSE)</f>
        <v>North</v>
      </c>
      <c r="N227">
        <f>VLOOKUP(D227, Products!$A$2:$F$61, 4, FALSE)</f>
        <v>2420</v>
      </c>
    </row>
    <row r="228" spans="1:14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 t="str">
        <f>VLOOKUP(D228, Products!$A$2:$F$61, 3, FALSE)</f>
        <v>Beauty</v>
      </c>
      <c r="M228" t="str">
        <f>VLOOKUP(E224, Sales_Reps!$A$2:$E$31, 3, FALSE)</f>
        <v>North</v>
      </c>
      <c r="N228">
        <f>VLOOKUP(D228, Products!$A$2:$F$61, 4, FALSE)</f>
        <v>2617</v>
      </c>
    </row>
    <row r="229" spans="1:14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 t="str">
        <f>VLOOKUP(D229, Products!$A$2:$F$61, 3, FALSE)</f>
        <v>Beauty</v>
      </c>
      <c r="M229" t="str">
        <f>VLOOKUP(E225, Sales_Reps!$A$2:$E$31, 3, FALSE)</f>
        <v>East</v>
      </c>
      <c r="N229">
        <f>VLOOKUP(D229, Products!$A$2:$F$61, 4, FALSE)</f>
        <v>2617</v>
      </c>
    </row>
    <row r="230" spans="1:14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 t="str">
        <f>VLOOKUP(D230, Products!$A$2:$F$61, 3, FALSE)</f>
        <v>Grocery</v>
      </c>
      <c r="M230" t="str">
        <f>VLOOKUP(E226, Sales_Reps!$A$2:$E$31, 3, FALSE)</f>
        <v>East</v>
      </c>
      <c r="N230">
        <f>VLOOKUP(D230, Products!$A$2:$F$61, 4, FALSE)</f>
        <v>1203</v>
      </c>
    </row>
    <row r="231" spans="1:14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 t="str">
        <f>VLOOKUP(D231, Products!$A$2:$F$61, 3, FALSE)</f>
        <v>Beauty</v>
      </c>
      <c r="M231" t="str">
        <f>VLOOKUP(E227, Sales_Reps!$A$2:$E$31, 3, FALSE)</f>
        <v>North</v>
      </c>
      <c r="N231">
        <f>VLOOKUP(D231, Products!$A$2:$F$61, 4, FALSE)</f>
        <v>2768</v>
      </c>
    </row>
    <row r="232" spans="1:14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 t="str">
        <f>VLOOKUP(D232, Products!$A$2:$F$61, 3, FALSE)</f>
        <v>Grocery</v>
      </c>
      <c r="M232" t="str">
        <f>VLOOKUP(E228, Sales_Reps!$A$2:$E$31, 3, FALSE)</f>
        <v>East</v>
      </c>
      <c r="N232">
        <f>VLOOKUP(D232, Products!$A$2:$F$61, 4, FALSE)</f>
        <v>1182</v>
      </c>
    </row>
    <row r="233" spans="1:14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 t="str">
        <f>VLOOKUP(D233, Products!$A$2:$F$61, 3, FALSE)</f>
        <v>Sports</v>
      </c>
      <c r="M233" t="str">
        <f>VLOOKUP(E229, Sales_Reps!$A$2:$E$31, 3, FALSE)</f>
        <v>East</v>
      </c>
      <c r="N233">
        <f>VLOOKUP(D233, Products!$A$2:$F$61, 4, FALSE)</f>
        <v>516</v>
      </c>
    </row>
    <row r="234" spans="1:14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 t="str">
        <f>VLOOKUP(D234, Products!$A$2:$F$61, 3, FALSE)</f>
        <v>Sports</v>
      </c>
      <c r="M234" t="str">
        <f>VLOOKUP(E230, Sales_Reps!$A$2:$E$31, 3, FALSE)</f>
        <v>South</v>
      </c>
      <c r="N234">
        <f>VLOOKUP(D234, Products!$A$2:$F$61, 4, FALSE)</f>
        <v>2827</v>
      </c>
    </row>
    <row r="235" spans="1:14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 t="str">
        <f>VLOOKUP(D235, Products!$A$2:$F$61, 3, FALSE)</f>
        <v>Beauty</v>
      </c>
      <c r="M235" t="str">
        <f>VLOOKUP(E231, Sales_Reps!$A$2:$E$31, 3, FALSE)</f>
        <v>South</v>
      </c>
      <c r="N235">
        <f>VLOOKUP(D235, Products!$A$2:$F$61, 4, FALSE)</f>
        <v>1219</v>
      </c>
    </row>
    <row r="236" spans="1:14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 t="str">
        <f>VLOOKUP(D236, Products!$A$2:$F$61, 3, FALSE)</f>
        <v>Home</v>
      </c>
      <c r="M236" t="str">
        <f>VLOOKUP(E232, Sales_Reps!$A$2:$E$31, 3, FALSE)</f>
        <v>North</v>
      </c>
      <c r="N236">
        <f>VLOOKUP(D236, Products!$A$2:$F$61, 4, FALSE)</f>
        <v>288</v>
      </c>
    </row>
    <row r="237" spans="1:14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 t="str">
        <f>VLOOKUP(D237, Products!$A$2:$F$61, 3, FALSE)</f>
        <v>Grocery</v>
      </c>
      <c r="M237" t="str">
        <f>VLOOKUP(E233, Sales_Reps!$A$2:$E$31, 3, FALSE)</f>
        <v>West</v>
      </c>
      <c r="N237">
        <f>VLOOKUP(D237, Products!$A$2:$F$61, 4, FALSE)</f>
        <v>1412</v>
      </c>
    </row>
    <row r="238" spans="1:14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 t="str">
        <f>VLOOKUP(D238, Products!$A$2:$F$61, 3, FALSE)</f>
        <v>Beauty</v>
      </c>
      <c r="M238" t="str">
        <f>VLOOKUP(E234, Sales_Reps!$A$2:$E$31, 3, FALSE)</f>
        <v>West</v>
      </c>
      <c r="N238">
        <f>VLOOKUP(D238, Products!$A$2:$F$61, 4, FALSE)</f>
        <v>2617</v>
      </c>
    </row>
    <row r="239" spans="1:14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 t="str">
        <f>VLOOKUP(D239, Products!$A$2:$F$61, 3, FALSE)</f>
        <v>Electronics</v>
      </c>
      <c r="M239" t="str">
        <f>VLOOKUP(E235, Sales_Reps!$A$2:$E$31, 3, FALSE)</f>
        <v>West</v>
      </c>
      <c r="N239">
        <f>VLOOKUP(D239, Products!$A$2:$F$61, 4, FALSE)</f>
        <v>2405</v>
      </c>
    </row>
    <row r="240" spans="1:14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 t="str">
        <f>VLOOKUP(D240, Products!$A$2:$F$61, 3, FALSE)</f>
        <v>Grocery</v>
      </c>
      <c r="M240" t="str">
        <f>VLOOKUP(E236, Sales_Reps!$A$2:$E$31, 3, FALSE)</f>
        <v>South</v>
      </c>
      <c r="N240">
        <f>VLOOKUP(D240, Products!$A$2:$F$61, 4, FALSE)</f>
        <v>2027</v>
      </c>
    </row>
    <row r="241" spans="1:14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 t="str">
        <f>VLOOKUP(D241, Products!$A$2:$F$61, 3, FALSE)</f>
        <v>Electronics</v>
      </c>
      <c r="M241" t="str">
        <f>VLOOKUP(E237, Sales_Reps!$A$2:$E$31, 3, FALSE)</f>
        <v>East</v>
      </c>
      <c r="N241">
        <f>VLOOKUP(D241, Products!$A$2:$F$61, 4, FALSE)</f>
        <v>128</v>
      </c>
    </row>
    <row r="242" spans="1:14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 t="str">
        <f>VLOOKUP(D242, Products!$A$2:$F$61, 3, FALSE)</f>
        <v>Beauty</v>
      </c>
      <c r="M242" t="str">
        <f>VLOOKUP(E238, Sales_Reps!$A$2:$E$31, 3, FALSE)</f>
        <v>North</v>
      </c>
      <c r="N242">
        <f>VLOOKUP(D242, Products!$A$2:$F$61, 4, FALSE)</f>
        <v>2768</v>
      </c>
    </row>
    <row r="243" spans="1:14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 t="str">
        <f>VLOOKUP(D243, Products!$A$2:$F$61, 3, FALSE)</f>
        <v>Sports</v>
      </c>
      <c r="M243" t="str">
        <f>VLOOKUP(E239, Sales_Reps!$A$2:$E$31, 3, FALSE)</f>
        <v>East</v>
      </c>
      <c r="N243">
        <f>VLOOKUP(D243, Products!$A$2:$F$61, 4, FALSE)</f>
        <v>2028</v>
      </c>
    </row>
    <row r="244" spans="1:14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 t="str">
        <f>VLOOKUP(D244, Products!$A$2:$F$61, 3, FALSE)</f>
        <v>Beauty</v>
      </c>
      <c r="M244" t="str">
        <f>VLOOKUP(E240, Sales_Reps!$A$2:$E$31, 3, FALSE)</f>
        <v>West</v>
      </c>
      <c r="N244">
        <f>VLOOKUP(D244, Products!$A$2:$F$61, 4, FALSE)</f>
        <v>647</v>
      </c>
    </row>
    <row r="245" spans="1:14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 t="str">
        <f>VLOOKUP(D245, Products!$A$2:$F$61, 3, FALSE)</f>
        <v>Electronics</v>
      </c>
      <c r="M245" t="str">
        <f>VLOOKUP(E241, Sales_Reps!$A$2:$E$31, 3, FALSE)</f>
        <v>North</v>
      </c>
      <c r="N245">
        <f>VLOOKUP(D245, Products!$A$2:$F$61, 4, FALSE)</f>
        <v>1149</v>
      </c>
    </row>
    <row r="246" spans="1:14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 t="str">
        <f>VLOOKUP(D246, Products!$A$2:$F$61, 3, FALSE)</f>
        <v>Apparel</v>
      </c>
      <c r="M246" t="str">
        <f>VLOOKUP(E242, Sales_Reps!$A$2:$E$31, 3, FALSE)</f>
        <v>South</v>
      </c>
      <c r="N246">
        <f>VLOOKUP(D246, Products!$A$2:$F$61, 4, FALSE)</f>
        <v>1886</v>
      </c>
    </row>
    <row r="247" spans="1:14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 t="str">
        <f>VLOOKUP(D247, Products!$A$2:$F$61, 3, FALSE)</f>
        <v>Home</v>
      </c>
      <c r="M247" t="str">
        <f>VLOOKUP(E243, Sales_Reps!$A$2:$E$31, 3, FALSE)</f>
        <v>West</v>
      </c>
      <c r="N247">
        <f>VLOOKUP(D247, Products!$A$2:$F$61, 4, FALSE)</f>
        <v>519</v>
      </c>
    </row>
    <row r="248" spans="1:14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 t="str">
        <f>VLOOKUP(D248, Products!$A$2:$F$61, 3, FALSE)</f>
        <v>Sports</v>
      </c>
      <c r="M248" t="str">
        <f>VLOOKUP(E244, Sales_Reps!$A$2:$E$31, 3, FALSE)</f>
        <v>North</v>
      </c>
      <c r="N248">
        <f>VLOOKUP(D248, Products!$A$2:$F$61, 4, FALSE)</f>
        <v>516</v>
      </c>
    </row>
    <row r="249" spans="1:14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 t="str">
        <f>VLOOKUP(D249, Products!$A$2:$F$61, 3, FALSE)</f>
        <v>Electronics</v>
      </c>
      <c r="M249" t="str">
        <f>VLOOKUP(E245, Sales_Reps!$A$2:$E$31, 3, FALSE)</f>
        <v>South</v>
      </c>
      <c r="N249">
        <f>VLOOKUP(D249, Products!$A$2:$F$61, 4, FALSE)</f>
        <v>1052</v>
      </c>
    </row>
    <row r="250" spans="1:14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 t="str">
        <f>VLOOKUP(D250, Products!$A$2:$F$61, 3, FALSE)</f>
        <v>Apparel</v>
      </c>
      <c r="M250" t="str">
        <f>VLOOKUP(E246, Sales_Reps!$A$2:$E$31, 3, FALSE)</f>
        <v>South</v>
      </c>
      <c r="N250">
        <f>VLOOKUP(D250, Products!$A$2:$F$61, 4, FALSE)</f>
        <v>1075</v>
      </c>
    </row>
    <row r="251" spans="1:14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 t="str">
        <f>VLOOKUP(D251, Products!$A$2:$F$61, 3, FALSE)</f>
        <v>Grocery</v>
      </c>
      <c r="M251" t="str">
        <f>VLOOKUP(E247, Sales_Reps!$A$2:$E$31, 3, FALSE)</f>
        <v>North</v>
      </c>
      <c r="N251">
        <f>VLOOKUP(D251, Products!$A$2:$F$61, 4, FALSE)</f>
        <v>2027</v>
      </c>
    </row>
    <row r="252" spans="1:14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 t="str">
        <f>VLOOKUP(D252, Products!$A$2:$F$61, 3, FALSE)</f>
        <v>Apparel</v>
      </c>
      <c r="M252" t="str">
        <f>VLOOKUP(E248, Sales_Reps!$A$2:$E$31, 3, FALSE)</f>
        <v>South</v>
      </c>
      <c r="N252">
        <f>VLOOKUP(D252, Products!$A$2:$F$61, 4, FALSE)</f>
        <v>391</v>
      </c>
    </row>
    <row r="253" spans="1:14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 t="str">
        <f>VLOOKUP(D253, Products!$A$2:$F$61, 3, FALSE)</f>
        <v>Grocery</v>
      </c>
      <c r="M253" t="str">
        <f>VLOOKUP(E249, Sales_Reps!$A$2:$E$31, 3, FALSE)</f>
        <v>West</v>
      </c>
      <c r="N253">
        <f>VLOOKUP(D253, Products!$A$2:$F$61, 4, FALSE)</f>
        <v>434</v>
      </c>
    </row>
    <row r="254" spans="1:14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 t="str">
        <f>VLOOKUP(D254, Products!$A$2:$F$61, 3, FALSE)</f>
        <v>Grocery</v>
      </c>
      <c r="M254" t="str">
        <f>VLOOKUP(E250, Sales_Reps!$A$2:$E$31, 3, FALSE)</f>
        <v>South</v>
      </c>
      <c r="N254">
        <f>VLOOKUP(D254, Products!$A$2:$F$61, 4, FALSE)</f>
        <v>2027</v>
      </c>
    </row>
    <row r="255" spans="1:14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 t="str">
        <f>VLOOKUP(D255, Products!$A$2:$F$61, 3, FALSE)</f>
        <v>Beauty</v>
      </c>
      <c r="M255" t="str">
        <f>VLOOKUP(E251, Sales_Reps!$A$2:$E$31, 3, FALSE)</f>
        <v>East</v>
      </c>
      <c r="N255">
        <f>VLOOKUP(D255, Products!$A$2:$F$61, 4, FALSE)</f>
        <v>2420</v>
      </c>
    </row>
    <row r="256" spans="1:14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 t="str">
        <f>VLOOKUP(D256, Products!$A$2:$F$61, 3, FALSE)</f>
        <v>Grocery</v>
      </c>
      <c r="M256" t="str">
        <f>VLOOKUP(E252, Sales_Reps!$A$2:$E$31, 3, FALSE)</f>
        <v>South</v>
      </c>
      <c r="N256">
        <f>VLOOKUP(D256, Products!$A$2:$F$61, 4, FALSE)</f>
        <v>2436</v>
      </c>
    </row>
    <row r="257" spans="1:14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 t="str">
        <f>VLOOKUP(D257, Products!$A$2:$F$61, 3, FALSE)</f>
        <v>Sports</v>
      </c>
      <c r="M257" t="str">
        <f>VLOOKUP(E253, Sales_Reps!$A$2:$E$31, 3, FALSE)</f>
        <v>North</v>
      </c>
      <c r="N257">
        <f>VLOOKUP(D257, Products!$A$2:$F$61, 4, FALSE)</f>
        <v>705</v>
      </c>
    </row>
    <row r="258" spans="1:14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 t="str">
        <f>VLOOKUP(D258, Products!$A$2:$F$61, 3, FALSE)</f>
        <v>Electronics</v>
      </c>
      <c r="M258" t="str">
        <f>VLOOKUP(E254, Sales_Reps!$A$2:$E$31, 3, FALSE)</f>
        <v>South</v>
      </c>
      <c r="N258">
        <f>VLOOKUP(D258, Products!$A$2:$F$61, 4, FALSE)</f>
        <v>1665</v>
      </c>
    </row>
    <row r="259" spans="1:14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 t="str">
        <f>VLOOKUP(D259, Products!$A$2:$F$61, 3, FALSE)</f>
        <v>Electronics</v>
      </c>
      <c r="M259" t="str">
        <f>VLOOKUP(E255, Sales_Reps!$A$2:$E$31, 3, FALSE)</f>
        <v>East</v>
      </c>
      <c r="N259">
        <f>VLOOKUP(D259, Products!$A$2:$F$61, 4, FALSE)</f>
        <v>1665</v>
      </c>
    </row>
    <row r="260" spans="1:14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 t="str">
        <f>VLOOKUP(D260, Products!$A$2:$F$61, 3, FALSE)</f>
        <v>Home</v>
      </c>
      <c r="M260" t="str">
        <f>VLOOKUP(E256, Sales_Reps!$A$2:$E$31, 3, FALSE)</f>
        <v>South</v>
      </c>
      <c r="N260">
        <f>VLOOKUP(D260, Products!$A$2:$F$61, 4, FALSE)</f>
        <v>519</v>
      </c>
    </row>
    <row r="261" spans="1:14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 t="str">
        <f>VLOOKUP(D261, Products!$A$2:$F$61, 3, FALSE)</f>
        <v>Apparel</v>
      </c>
      <c r="M261" t="str">
        <f>VLOOKUP(E257, Sales_Reps!$A$2:$E$31, 3, FALSE)</f>
        <v>North</v>
      </c>
      <c r="N261">
        <f>VLOOKUP(D261, Products!$A$2:$F$61, 4, FALSE)</f>
        <v>1748</v>
      </c>
    </row>
    <row r="262" spans="1:14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 t="str">
        <f>VLOOKUP(D262, Products!$A$2:$F$61, 3, FALSE)</f>
        <v>Electronics</v>
      </c>
      <c r="M262" t="str">
        <f>VLOOKUP(E258, Sales_Reps!$A$2:$E$31, 3, FALSE)</f>
        <v>East</v>
      </c>
      <c r="N262">
        <f>VLOOKUP(D262, Products!$A$2:$F$61, 4, FALSE)</f>
        <v>1259</v>
      </c>
    </row>
    <row r="263" spans="1:14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 t="str">
        <f>VLOOKUP(D263, Products!$A$2:$F$61, 3, FALSE)</f>
        <v>Sports</v>
      </c>
      <c r="M263" t="str">
        <f>VLOOKUP(E259, Sales_Reps!$A$2:$E$31, 3, FALSE)</f>
        <v>West</v>
      </c>
      <c r="N263">
        <f>VLOOKUP(D263, Products!$A$2:$F$61, 4, FALSE)</f>
        <v>974</v>
      </c>
    </row>
    <row r="264" spans="1:14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 t="str">
        <f>VLOOKUP(D264, Products!$A$2:$F$61, 3, FALSE)</f>
        <v>Electronics</v>
      </c>
      <c r="M264" t="str">
        <f>VLOOKUP(E260, Sales_Reps!$A$2:$E$31, 3, FALSE)</f>
        <v>South</v>
      </c>
      <c r="N264">
        <f>VLOOKUP(D264, Products!$A$2:$F$61, 4, FALSE)</f>
        <v>1052</v>
      </c>
    </row>
    <row r="265" spans="1:14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 t="str">
        <f>VLOOKUP(D265, Products!$A$2:$F$61, 3, FALSE)</f>
        <v>Grocery</v>
      </c>
      <c r="M265" t="str">
        <f>VLOOKUP(E261, Sales_Reps!$A$2:$E$31, 3, FALSE)</f>
        <v>South</v>
      </c>
      <c r="N265">
        <f>VLOOKUP(D265, Products!$A$2:$F$61, 4, FALSE)</f>
        <v>2911</v>
      </c>
    </row>
    <row r="266" spans="1:14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 t="str">
        <f>VLOOKUP(D266, Products!$A$2:$F$61, 3, FALSE)</f>
        <v>Home</v>
      </c>
      <c r="M266" t="str">
        <f>VLOOKUP(E262, Sales_Reps!$A$2:$E$31, 3, FALSE)</f>
        <v>East</v>
      </c>
      <c r="N266">
        <f>VLOOKUP(D266, Products!$A$2:$F$61, 4, FALSE)</f>
        <v>2549</v>
      </c>
    </row>
    <row r="267" spans="1:14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 t="str">
        <f>VLOOKUP(D267, Products!$A$2:$F$61, 3, FALSE)</f>
        <v>Home</v>
      </c>
      <c r="M267" t="str">
        <f>VLOOKUP(E263, Sales_Reps!$A$2:$E$31, 3, FALSE)</f>
        <v>South</v>
      </c>
      <c r="N267">
        <f>VLOOKUP(D267, Products!$A$2:$F$61, 4, FALSE)</f>
        <v>288</v>
      </c>
    </row>
    <row r="268" spans="1:14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 t="str">
        <f>VLOOKUP(D268, Products!$A$2:$F$61, 3, FALSE)</f>
        <v>Apparel</v>
      </c>
      <c r="M268" t="str">
        <f>VLOOKUP(E264, Sales_Reps!$A$2:$E$31, 3, FALSE)</f>
        <v>North</v>
      </c>
      <c r="N268">
        <f>VLOOKUP(D268, Products!$A$2:$F$61, 4, FALSE)</f>
        <v>396</v>
      </c>
    </row>
    <row r="269" spans="1:14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 t="str">
        <f>VLOOKUP(D269, Products!$A$2:$F$61, 3, FALSE)</f>
        <v>Home</v>
      </c>
      <c r="M269" t="str">
        <f>VLOOKUP(E265, Sales_Reps!$A$2:$E$31, 3, FALSE)</f>
        <v>North</v>
      </c>
      <c r="N269">
        <f>VLOOKUP(D269, Products!$A$2:$F$61, 4, FALSE)</f>
        <v>1556</v>
      </c>
    </row>
    <row r="270" spans="1:14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 t="str">
        <f>VLOOKUP(D270, Products!$A$2:$F$61, 3, FALSE)</f>
        <v>Beauty</v>
      </c>
      <c r="M270" t="str">
        <f>VLOOKUP(E266, Sales_Reps!$A$2:$E$31, 3, FALSE)</f>
        <v>East</v>
      </c>
      <c r="N270">
        <f>VLOOKUP(D270, Products!$A$2:$F$61, 4, FALSE)</f>
        <v>2617</v>
      </c>
    </row>
    <row r="271" spans="1:14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 t="str">
        <f>VLOOKUP(D271, Products!$A$2:$F$61, 3, FALSE)</f>
        <v>Apparel</v>
      </c>
      <c r="M271" t="str">
        <f>VLOOKUP(E267, Sales_Reps!$A$2:$E$31, 3, FALSE)</f>
        <v>East</v>
      </c>
      <c r="N271">
        <f>VLOOKUP(D271, Products!$A$2:$F$61, 4, FALSE)</f>
        <v>2611</v>
      </c>
    </row>
    <row r="272" spans="1:14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 t="str">
        <f>VLOOKUP(D272, Products!$A$2:$F$61, 3, FALSE)</f>
        <v>Apparel</v>
      </c>
      <c r="M272" t="str">
        <f>VLOOKUP(E268, Sales_Reps!$A$2:$E$31, 3, FALSE)</f>
        <v>East</v>
      </c>
      <c r="N272">
        <f>VLOOKUP(D272, Products!$A$2:$F$61, 4, FALSE)</f>
        <v>1886</v>
      </c>
    </row>
    <row r="273" spans="1:14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 t="str">
        <f>VLOOKUP(D273, Products!$A$2:$F$61, 3, FALSE)</f>
        <v>Electronics</v>
      </c>
      <c r="M273" t="str">
        <f>VLOOKUP(E269, Sales_Reps!$A$2:$E$31, 3, FALSE)</f>
        <v>West</v>
      </c>
      <c r="N273">
        <f>VLOOKUP(D273, Products!$A$2:$F$61, 4, FALSE)</f>
        <v>1559</v>
      </c>
    </row>
    <row r="274" spans="1:14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 t="str">
        <f>VLOOKUP(D274, Products!$A$2:$F$61, 3, FALSE)</f>
        <v>Home</v>
      </c>
      <c r="M274" t="str">
        <f>VLOOKUP(E270, Sales_Reps!$A$2:$E$31, 3, FALSE)</f>
        <v>South</v>
      </c>
      <c r="N274">
        <f>VLOOKUP(D274, Products!$A$2:$F$61, 4, FALSE)</f>
        <v>329</v>
      </c>
    </row>
    <row r="275" spans="1:14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 t="str">
        <f>VLOOKUP(D275, Products!$A$2:$F$61, 3, FALSE)</f>
        <v>Grocery</v>
      </c>
      <c r="M275" t="str">
        <f>VLOOKUP(E271, Sales_Reps!$A$2:$E$31, 3, FALSE)</f>
        <v>South</v>
      </c>
      <c r="N275">
        <f>VLOOKUP(D275, Products!$A$2:$F$61, 4, FALSE)</f>
        <v>2911</v>
      </c>
    </row>
    <row r="276" spans="1:14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 t="str">
        <f>VLOOKUP(D276, Products!$A$2:$F$61, 3, FALSE)</f>
        <v>Home</v>
      </c>
      <c r="M276" t="str">
        <f>VLOOKUP(E272, Sales_Reps!$A$2:$E$31, 3, FALSE)</f>
        <v>North</v>
      </c>
      <c r="N276">
        <f>VLOOKUP(D276, Products!$A$2:$F$61, 4, FALSE)</f>
        <v>2459</v>
      </c>
    </row>
    <row r="277" spans="1:14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 t="str">
        <f>VLOOKUP(D277, Products!$A$2:$F$61, 3, FALSE)</f>
        <v>Electronics</v>
      </c>
      <c r="M277" t="str">
        <f>VLOOKUP(E273, Sales_Reps!$A$2:$E$31, 3, FALSE)</f>
        <v>North</v>
      </c>
      <c r="N277">
        <f>VLOOKUP(D277, Products!$A$2:$F$61, 4, FALSE)</f>
        <v>1665</v>
      </c>
    </row>
    <row r="278" spans="1:14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 t="str">
        <f>VLOOKUP(D278, Products!$A$2:$F$61, 3, FALSE)</f>
        <v>Apparel</v>
      </c>
      <c r="M278" t="str">
        <f>VLOOKUP(E274, Sales_Reps!$A$2:$E$31, 3, FALSE)</f>
        <v>West</v>
      </c>
      <c r="N278">
        <f>VLOOKUP(D278, Products!$A$2:$F$61, 4, FALSE)</f>
        <v>396</v>
      </c>
    </row>
    <row r="279" spans="1:14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 t="str">
        <f>VLOOKUP(D279, Products!$A$2:$F$61, 3, FALSE)</f>
        <v>Apparel</v>
      </c>
      <c r="M279" t="str">
        <f>VLOOKUP(E275, Sales_Reps!$A$2:$E$31, 3, FALSE)</f>
        <v>South</v>
      </c>
      <c r="N279">
        <f>VLOOKUP(D279, Products!$A$2:$F$61, 4, FALSE)</f>
        <v>1748</v>
      </c>
    </row>
    <row r="280" spans="1:14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 t="str">
        <f>VLOOKUP(D280, Products!$A$2:$F$61, 3, FALSE)</f>
        <v>Beauty</v>
      </c>
      <c r="M280" t="str">
        <f>VLOOKUP(E276, Sales_Reps!$A$2:$E$31, 3, FALSE)</f>
        <v>South</v>
      </c>
      <c r="N280">
        <f>VLOOKUP(D280, Products!$A$2:$F$61, 4, FALSE)</f>
        <v>2237</v>
      </c>
    </row>
    <row r="281" spans="1:14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 t="str">
        <f>VLOOKUP(D281, Products!$A$2:$F$61, 3, FALSE)</f>
        <v>Electronics</v>
      </c>
      <c r="M281" t="str">
        <f>VLOOKUP(E277, Sales_Reps!$A$2:$E$31, 3, FALSE)</f>
        <v>North</v>
      </c>
      <c r="N281">
        <f>VLOOKUP(D281, Products!$A$2:$F$61, 4, FALSE)</f>
        <v>1559</v>
      </c>
    </row>
    <row r="282" spans="1:14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 t="str">
        <f>VLOOKUP(D282, Products!$A$2:$F$61, 3, FALSE)</f>
        <v>Electronics</v>
      </c>
      <c r="M282" t="str">
        <f>VLOOKUP(E278, Sales_Reps!$A$2:$E$31, 3, FALSE)</f>
        <v>East</v>
      </c>
      <c r="N282">
        <f>VLOOKUP(D282, Products!$A$2:$F$61, 4, FALSE)</f>
        <v>517</v>
      </c>
    </row>
    <row r="283" spans="1:14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 t="str">
        <f>VLOOKUP(D283, Products!$A$2:$F$61, 3, FALSE)</f>
        <v>Home</v>
      </c>
      <c r="M283" t="str">
        <f>VLOOKUP(E279, Sales_Reps!$A$2:$E$31, 3, FALSE)</f>
        <v>South</v>
      </c>
      <c r="N283">
        <f>VLOOKUP(D283, Products!$A$2:$F$61, 4, FALSE)</f>
        <v>2549</v>
      </c>
    </row>
    <row r="284" spans="1:14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 t="str">
        <f>VLOOKUP(D284, Products!$A$2:$F$61, 3, FALSE)</f>
        <v>Beauty</v>
      </c>
      <c r="M284" t="str">
        <f>VLOOKUP(E280, Sales_Reps!$A$2:$E$31, 3, FALSE)</f>
        <v>North</v>
      </c>
      <c r="N284">
        <f>VLOOKUP(D284, Products!$A$2:$F$61, 4, FALSE)</f>
        <v>1222</v>
      </c>
    </row>
    <row r="285" spans="1:14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 t="str">
        <f>VLOOKUP(D285, Products!$A$2:$F$61, 3, FALSE)</f>
        <v>Electronics</v>
      </c>
      <c r="M285" t="str">
        <f>VLOOKUP(E281, Sales_Reps!$A$2:$E$31, 3, FALSE)</f>
        <v>North</v>
      </c>
      <c r="N285">
        <f>VLOOKUP(D285, Products!$A$2:$F$61, 4, FALSE)</f>
        <v>1259</v>
      </c>
    </row>
    <row r="286" spans="1:14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 t="str">
        <f>VLOOKUP(D286, Products!$A$2:$F$61, 3, FALSE)</f>
        <v>Grocery</v>
      </c>
      <c r="M286" t="str">
        <f>VLOOKUP(E282, Sales_Reps!$A$2:$E$31, 3, FALSE)</f>
        <v>West</v>
      </c>
      <c r="N286">
        <f>VLOOKUP(D286, Products!$A$2:$F$61, 4, FALSE)</f>
        <v>1010</v>
      </c>
    </row>
    <row r="287" spans="1:14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 t="str">
        <f>VLOOKUP(D287, Products!$A$2:$F$61, 3, FALSE)</f>
        <v>Electronics</v>
      </c>
      <c r="M287" t="str">
        <f>VLOOKUP(E283, Sales_Reps!$A$2:$E$31, 3, FALSE)</f>
        <v>East</v>
      </c>
      <c r="N287">
        <f>VLOOKUP(D287, Products!$A$2:$F$61, 4, FALSE)</f>
        <v>1052</v>
      </c>
    </row>
    <row r="288" spans="1:14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 t="str">
        <f>VLOOKUP(D288, Products!$A$2:$F$61, 3, FALSE)</f>
        <v>Beauty</v>
      </c>
      <c r="M288" t="str">
        <f>VLOOKUP(E284, Sales_Reps!$A$2:$E$31, 3, FALSE)</f>
        <v>North</v>
      </c>
      <c r="N288">
        <f>VLOOKUP(D288, Products!$A$2:$F$61, 4, FALSE)</f>
        <v>1626</v>
      </c>
    </row>
    <row r="289" spans="1:14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 t="str">
        <f>VLOOKUP(D289, Products!$A$2:$F$61, 3, FALSE)</f>
        <v>Home</v>
      </c>
      <c r="M289" t="str">
        <f>VLOOKUP(E285, Sales_Reps!$A$2:$E$31, 3, FALSE)</f>
        <v>North</v>
      </c>
      <c r="N289">
        <f>VLOOKUP(D289, Products!$A$2:$F$61, 4, FALSE)</f>
        <v>288</v>
      </c>
    </row>
    <row r="290" spans="1:14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 t="str">
        <f>VLOOKUP(D290, Products!$A$2:$F$61, 3, FALSE)</f>
        <v>Electronics</v>
      </c>
      <c r="M290" t="str">
        <f>VLOOKUP(E286, Sales_Reps!$A$2:$E$31, 3, FALSE)</f>
        <v>North</v>
      </c>
      <c r="N290">
        <f>VLOOKUP(D290, Products!$A$2:$F$61, 4, FALSE)</f>
        <v>2405</v>
      </c>
    </row>
    <row r="291" spans="1:14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 t="str">
        <f>VLOOKUP(D291, Products!$A$2:$F$61, 3, FALSE)</f>
        <v>Apparel</v>
      </c>
      <c r="M291" t="str">
        <f>VLOOKUP(E287, Sales_Reps!$A$2:$E$31, 3, FALSE)</f>
        <v>North</v>
      </c>
      <c r="N291">
        <f>VLOOKUP(D291, Products!$A$2:$F$61, 4, FALSE)</f>
        <v>2629</v>
      </c>
    </row>
    <row r="292" spans="1:14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 t="str">
        <f>VLOOKUP(D292, Products!$A$2:$F$61, 3, FALSE)</f>
        <v>Sports</v>
      </c>
      <c r="M292" t="str">
        <f>VLOOKUP(E288, Sales_Reps!$A$2:$E$31, 3, FALSE)</f>
        <v>West</v>
      </c>
      <c r="N292">
        <f>VLOOKUP(D292, Products!$A$2:$F$61, 4, FALSE)</f>
        <v>516</v>
      </c>
    </row>
    <row r="293" spans="1:14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 t="str">
        <f>VLOOKUP(D293, Products!$A$2:$F$61, 3, FALSE)</f>
        <v>Sports</v>
      </c>
      <c r="M293" t="str">
        <f>VLOOKUP(E289, Sales_Reps!$A$2:$E$31, 3, FALSE)</f>
        <v>North</v>
      </c>
      <c r="N293">
        <f>VLOOKUP(D293, Products!$A$2:$F$61, 4, FALSE)</f>
        <v>2827</v>
      </c>
    </row>
    <row r="294" spans="1:14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 t="str">
        <f>VLOOKUP(D294, Products!$A$2:$F$61, 3, FALSE)</f>
        <v>Apparel</v>
      </c>
      <c r="M294" t="str">
        <f>VLOOKUP(E290, Sales_Reps!$A$2:$E$31, 3, FALSE)</f>
        <v>North</v>
      </c>
      <c r="N294">
        <f>VLOOKUP(D294, Products!$A$2:$F$61, 4, FALSE)</f>
        <v>1886</v>
      </c>
    </row>
    <row r="295" spans="1:14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 t="str">
        <f>VLOOKUP(D295, Products!$A$2:$F$61, 3, FALSE)</f>
        <v>Grocery</v>
      </c>
      <c r="M295" t="str">
        <f>VLOOKUP(E291, Sales_Reps!$A$2:$E$31, 3, FALSE)</f>
        <v>West</v>
      </c>
      <c r="N295">
        <f>VLOOKUP(D295, Products!$A$2:$F$61, 4, FALSE)</f>
        <v>2214</v>
      </c>
    </row>
    <row r="296" spans="1:14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 t="str">
        <f>VLOOKUP(D296, Products!$A$2:$F$61, 3, FALSE)</f>
        <v>Grocery</v>
      </c>
      <c r="M296" t="str">
        <f>VLOOKUP(E292, Sales_Reps!$A$2:$E$31, 3, FALSE)</f>
        <v>West</v>
      </c>
      <c r="N296">
        <f>VLOOKUP(D296, Products!$A$2:$F$61, 4, FALSE)</f>
        <v>1203</v>
      </c>
    </row>
    <row r="297" spans="1:14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 t="str">
        <f>VLOOKUP(D297, Products!$A$2:$F$61, 3, FALSE)</f>
        <v>Sports</v>
      </c>
      <c r="M297" t="str">
        <f>VLOOKUP(E293, Sales_Reps!$A$2:$E$31, 3, FALSE)</f>
        <v>North</v>
      </c>
      <c r="N297">
        <f>VLOOKUP(D297, Products!$A$2:$F$61, 4, FALSE)</f>
        <v>1860</v>
      </c>
    </row>
    <row r="298" spans="1:14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 t="str">
        <f>VLOOKUP(D298, Products!$A$2:$F$61, 3, FALSE)</f>
        <v>Apparel</v>
      </c>
      <c r="M298" t="str">
        <f>VLOOKUP(E294, Sales_Reps!$A$2:$E$31, 3, FALSE)</f>
        <v>South</v>
      </c>
      <c r="N298">
        <f>VLOOKUP(D298, Products!$A$2:$F$61, 4, FALSE)</f>
        <v>2611</v>
      </c>
    </row>
    <row r="299" spans="1:14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 t="str">
        <f>VLOOKUP(D299, Products!$A$2:$F$61, 3, FALSE)</f>
        <v>Electronics</v>
      </c>
      <c r="M299" t="str">
        <f>VLOOKUP(E295, Sales_Reps!$A$2:$E$31, 3, FALSE)</f>
        <v>North</v>
      </c>
      <c r="N299">
        <f>VLOOKUP(D299, Products!$A$2:$F$61, 4, FALSE)</f>
        <v>517</v>
      </c>
    </row>
    <row r="300" spans="1:14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 t="str">
        <f>VLOOKUP(D300, Products!$A$2:$F$61, 3, FALSE)</f>
        <v>Apparel</v>
      </c>
      <c r="M300" t="str">
        <f>VLOOKUP(E296, Sales_Reps!$A$2:$E$31, 3, FALSE)</f>
        <v>North</v>
      </c>
      <c r="N300">
        <f>VLOOKUP(D300, Products!$A$2:$F$61, 4, FALSE)</f>
        <v>1075</v>
      </c>
    </row>
    <row r="301" spans="1:14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 t="str">
        <f>VLOOKUP(D301, Products!$A$2:$F$61, 3, FALSE)</f>
        <v>Home</v>
      </c>
      <c r="M301" t="str">
        <f>VLOOKUP(E297, Sales_Reps!$A$2:$E$31, 3, FALSE)</f>
        <v>West</v>
      </c>
      <c r="N301">
        <f>VLOOKUP(D301, Products!$A$2:$F$61, 4, FALSE)</f>
        <v>519</v>
      </c>
    </row>
    <row r="302" spans="1:14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 t="str">
        <f>VLOOKUP(D302, Products!$A$2:$F$61, 3, FALSE)</f>
        <v>Home</v>
      </c>
      <c r="M302" t="str">
        <f>VLOOKUP(E298, Sales_Reps!$A$2:$E$31, 3, FALSE)</f>
        <v>South</v>
      </c>
      <c r="N302">
        <f>VLOOKUP(D302, Products!$A$2:$F$61, 4, FALSE)</f>
        <v>1143</v>
      </c>
    </row>
    <row r="303" spans="1:14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 t="str">
        <f>VLOOKUP(D303, Products!$A$2:$F$61, 3, FALSE)</f>
        <v>Sports</v>
      </c>
      <c r="M303" t="str">
        <f>VLOOKUP(E299, Sales_Reps!$A$2:$E$31, 3, FALSE)</f>
        <v>South</v>
      </c>
      <c r="N303">
        <f>VLOOKUP(D303, Products!$A$2:$F$61, 4, FALSE)</f>
        <v>1860</v>
      </c>
    </row>
    <row r="304" spans="1:14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 t="str">
        <f>VLOOKUP(D304, Products!$A$2:$F$61, 3, FALSE)</f>
        <v>Apparel</v>
      </c>
      <c r="M304" t="str">
        <f>VLOOKUP(E300, Sales_Reps!$A$2:$E$31, 3, FALSE)</f>
        <v>West</v>
      </c>
      <c r="N304">
        <f>VLOOKUP(D304, Products!$A$2:$F$61, 4, FALSE)</f>
        <v>1886</v>
      </c>
    </row>
    <row r="305" spans="1:14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 t="str">
        <f>VLOOKUP(D305, Products!$A$2:$F$61, 3, FALSE)</f>
        <v>Beauty</v>
      </c>
      <c r="M305" t="str">
        <f>VLOOKUP(E301, Sales_Reps!$A$2:$E$31, 3, FALSE)</f>
        <v>North</v>
      </c>
      <c r="N305">
        <f>VLOOKUP(D305, Products!$A$2:$F$61, 4, FALSE)</f>
        <v>2768</v>
      </c>
    </row>
    <row r="306" spans="1:14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 t="str">
        <f>VLOOKUP(D306, Products!$A$2:$F$61, 3, FALSE)</f>
        <v>Home</v>
      </c>
      <c r="M306" t="str">
        <f>VLOOKUP(E302, Sales_Reps!$A$2:$E$31, 3, FALSE)</f>
        <v>South</v>
      </c>
      <c r="N306">
        <f>VLOOKUP(D306, Products!$A$2:$F$61, 4, FALSE)</f>
        <v>2135</v>
      </c>
    </row>
    <row r="307" spans="1:14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 t="str">
        <f>VLOOKUP(D307, Products!$A$2:$F$61, 3, FALSE)</f>
        <v>Home</v>
      </c>
      <c r="M307" t="str">
        <f>VLOOKUP(E303, Sales_Reps!$A$2:$E$31, 3, FALSE)</f>
        <v>East</v>
      </c>
      <c r="N307">
        <f>VLOOKUP(D307, Products!$A$2:$F$61, 4, FALSE)</f>
        <v>2459</v>
      </c>
    </row>
    <row r="308" spans="1:14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 t="str">
        <f>VLOOKUP(D308, Products!$A$2:$F$61, 3, FALSE)</f>
        <v>Beauty</v>
      </c>
      <c r="M308" t="str">
        <f>VLOOKUP(E304, Sales_Reps!$A$2:$E$31, 3, FALSE)</f>
        <v>South</v>
      </c>
      <c r="N308">
        <f>VLOOKUP(D308, Products!$A$2:$F$61, 4, FALSE)</f>
        <v>1219</v>
      </c>
    </row>
    <row r="309" spans="1:14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 t="str">
        <f>VLOOKUP(D309, Products!$A$2:$F$61, 3, FALSE)</f>
        <v>Electronics</v>
      </c>
      <c r="M309" t="str">
        <f>VLOOKUP(E305, Sales_Reps!$A$2:$E$31, 3, FALSE)</f>
        <v>South</v>
      </c>
      <c r="N309">
        <f>VLOOKUP(D309, Products!$A$2:$F$61, 4, FALSE)</f>
        <v>1259</v>
      </c>
    </row>
    <row r="310" spans="1:14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 t="str">
        <f>VLOOKUP(D310, Products!$A$2:$F$61, 3, FALSE)</f>
        <v>Grocery</v>
      </c>
      <c r="M310" t="str">
        <f>VLOOKUP(E306, Sales_Reps!$A$2:$E$31, 3, FALSE)</f>
        <v>South</v>
      </c>
      <c r="N310">
        <f>VLOOKUP(D310, Products!$A$2:$F$61, 4, FALSE)</f>
        <v>2436</v>
      </c>
    </row>
    <row r="311" spans="1:14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 t="str">
        <f>VLOOKUP(D311, Products!$A$2:$F$61, 3, FALSE)</f>
        <v>Grocery</v>
      </c>
      <c r="M311" t="str">
        <f>VLOOKUP(E307, Sales_Reps!$A$2:$E$31, 3, FALSE)</f>
        <v>North</v>
      </c>
      <c r="N311">
        <f>VLOOKUP(D311, Products!$A$2:$F$61, 4, FALSE)</f>
        <v>1435</v>
      </c>
    </row>
    <row r="312" spans="1:14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 t="str">
        <f>VLOOKUP(D312, Products!$A$2:$F$61, 3, FALSE)</f>
        <v>Beauty</v>
      </c>
      <c r="M312" t="str">
        <f>VLOOKUP(E308, Sales_Reps!$A$2:$E$31, 3, FALSE)</f>
        <v>South</v>
      </c>
      <c r="N312">
        <f>VLOOKUP(D312, Products!$A$2:$F$61, 4, FALSE)</f>
        <v>647</v>
      </c>
    </row>
    <row r="313" spans="1:14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 t="str">
        <f>VLOOKUP(D313, Products!$A$2:$F$61, 3, FALSE)</f>
        <v>Beauty</v>
      </c>
      <c r="M313" t="str">
        <f>VLOOKUP(E309, Sales_Reps!$A$2:$E$31, 3, FALSE)</f>
        <v>South</v>
      </c>
      <c r="N313">
        <f>VLOOKUP(D313, Products!$A$2:$F$61, 4, FALSE)</f>
        <v>2768</v>
      </c>
    </row>
    <row r="314" spans="1:14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 t="str">
        <f>VLOOKUP(D314, Products!$A$2:$F$61, 3, FALSE)</f>
        <v>Grocery</v>
      </c>
      <c r="M314" t="str">
        <f>VLOOKUP(E310, Sales_Reps!$A$2:$E$31, 3, FALSE)</f>
        <v>West</v>
      </c>
      <c r="N314">
        <f>VLOOKUP(D314, Products!$A$2:$F$61, 4, FALSE)</f>
        <v>1203</v>
      </c>
    </row>
    <row r="315" spans="1:14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 t="str">
        <f>VLOOKUP(D315, Products!$A$2:$F$61, 3, FALSE)</f>
        <v>Apparel</v>
      </c>
      <c r="M315" t="str">
        <f>VLOOKUP(E311, Sales_Reps!$A$2:$E$31, 3, FALSE)</f>
        <v>West</v>
      </c>
      <c r="N315">
        <f>VLOOKUP(D315, Products!$A$2:$F$61, 4, FALSE)</f>
        <v>1173</v>
      </c>
    </row>
    <row r="316" spans="1:14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 t="str">
        <f>VLOOKUP(D316, Products!$A$2:$F$61, 3, FALSE)</f>
        <v>Beauty</v>
      </c>
      <c r="M316" t="str">
        <f>VLOOKUP(E312, Sales_Reps!$A$2:$E$31, 3, FALSE)</f>
        <v>North</v>
      </c>
      <c r="N316">
        <f>VLOOKUP(D316, Products!$A$2:$F$61, 4, FALSE)</f>
        <v>1626</v>
      </c>
    </row>
    <row r="317" spans="1:14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 t="str">
        <f>VLOOKUP(D317, Products!$A$2:$F$61, 3, FALSE)</f>
        <v>Beauty</v>
      </c>
      <c r="M317" t="str">
        <f>VLOOKUP(E313, Sales_Reps!$A$2:$E$31, 3, FALSE)</f>
        <v>East</v>
      </c>
      <c r="N317">
        <f>VLOOKUP(D317, Products!$A$2:$F$61, 4, FALSE)</f>
        <v>647</v>
      </c>
    </row>
    <row r="318" spans="1:14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 t="str">
        <f>VLOOKUP(D318, Products!$A$2:$F$61, 3, FALSE)</f>
        <v>Apparel</v>
      </c>
      <c r="M318" t="str">
        <f>VLOOKUP(E314, Sales_Reps!$A$2:$E$31, 3, FALSE)</f>
        <v>South</v>
      </c>
      <c r="N318">
        <f>VLOOKUP(D318, Products!$A$2:$F$61, 4, FALSE)</f>
        <v>1886</v>
      </c>
    </row>
    <row r="319" spans="1:14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 t="str">
        <f>VLOOKUP(D319, Products!$A$2:$F$61, 3, FALSE)</f>
        <v>Sports</v>
      </c>
      <c r="M319" t="str">
        <f>VLOOKUP(E315, Sales_Reps!$A$2:$E$31, 3, FALSE)</f>
        <v>South</v>
      </c>
      <c r="N319">
        <f>VLOOKUP(D319, Products!$A$2:$F$61, 4, FALSE)</f>
        <v>516</v>
      </c>
    </row>
    <row r="320" spans="1:14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 t="str">
        <f>VLOOKUP(D320, Products!$A$2:$F$61, 3, FALSE)</f>
        <v>Home</v>
      </c>
      <c r="M320" t="str">
        <f>VLOOKUP(E316, Sales_Reps!$A$2:$E$31, 3, FALSE)</f>
        <v>South</v>
      </c>
      <c r="N320">
        <f>VLOOKUP(D320, Products!$A$2:$F$61, 4, FALSE)</f>
        <v>1850</v>
      </c>
    </row>
    <row r="321" spans="1:14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 t="str">
        <f>VLOOKUP(D321, Products!$A$2:$F$61, 3, FALSE)</f>
        <v>Grocery</v>
      </c>
      <c r="M321" t="str">
        <f>VLOOKUP(E317, Sales_Reps!$A$2:$E$31, 3, FALSE)</f>
        <v>East</v>
      </c>
      <c r="N321">
        <f>VLOOKUP(D321, Products!$A$2:$F$61, 4, FALSE)</f>
        <v>2911</v>
      </c>
    </row>
    <row r="322" spans="1:14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 t="str">
        <f>VLOOKUP(D322, Products!$A$2:$F$61, 3, FALSE)</f>
        <v>Apparel</v>
      </c>
      <c r="M322" t="str">
        <f>VLOOKUP(E318, Sales_Reps!$A$2:$E$31, 3, FALSE)</f>
        <v>North</v>
      </c>
      <c r="N322">
        <f>VLOOKUP(D322, Products!$A$2:$F$61, 4, FALSE)</f>
        <v>396</v>
      </c>
    </row>
    <row r="323" spans="1:14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 t="str">
        <f>VLOOKUP(D323, Products!$A$2:$F$61, 3, FALSE)</f>
        <v>Apparel</v>
      </c>
      <c r="M323" t="str">
        <f>VLOOKUP(E319, Sales_Reps!$A$2:$E$31, 3, FALSE)</f>
        <v>South</v>
      </c>
      <c r="N323">
        <f>VLOOKUP(D323, Products!$A$2:$F$61, 4, FALSE)</f>
        <v>2629</v>
      </c>
    </row>
    <row r="324" spans="1:14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 t="str">
        <f>VLOOKUP(D324, Products!$A$2:$F$61, 3, FALSE)</f>
        <v>Sports</v>
      </c>
      <c r="M324" t="str">
        <f>VLOOKUP(E320, Sales_Reps!$A$2:$E$31, 3, FALSE)</f>
        <v>East</v>
      </c>
      <c r="N324">
        <f>VLOOKUP(D324, Products!$A$2:$F$61, 4, FALSE)</f>
        <v>974</v>
      </c>
    </row>
    <row r="325" spans="1:14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 t="str">
        <f>VLOOKUP(D325, Products!$A$2:$F$61, 3, FALSE)</f>
        <v>Sports</v>
      </c>
      <c r="M325" t="str">
        <f>VLOOKUP(E321, Sales_Reps!$A$2:$E$31, 3, FALSE)</f>
        <v>West</v>
      </c>
      <c r="N325">
        <f>VLOOKUP(D325, Products!$A$2:$F$61, 4, FALSE)</f>
        <v>2827</v>
      </c>
    </row>
    <row r="326" spans="1:14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 t="str">
        <f>VLOOKUP(D326, Products!$A$2:$F$61, 3, FALSE)</f>
        <v>Grocery</v>
      </c>
      <c r="M326" t="str">
        <f>VLOOKUP(E322, Sales_Reps!$A$2:$E$31, 3, FALSE)</f>
        <v>North</v>
      </c>
      <c r="N326">
        <f>VLOOKUP(D326, Products!$A$2:$F$61, 4, FALSE)</f>
        <v>1182</v>
      </c>
    </row>
    <row r="327" spans="1:14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 t="str">
        <f>VLOOKUP(D327, Products!$A$2:$F$61, 3, FALSE)</f>
        <v>Apparel</v>
      </c>
      <c r="M327" t="str">
        <f>VLOOKUP(E323, Sales_Reps!$A$2:$E$31, 3, FALSE)</f>
        <v>North</v>
      </c>
      <c r="N327">
        <f>VLOOKUP(D327, Products!$A$2:$F$61, 4, FALSE)</f>
        <v>2509</v>
      </c>
    </row>
    <row r="328" spans="1:14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 t="str">
        <f>VLOOKUP(D328, Products!$A$2:$F$61, 3, FALSE)</f>
        <v>Beauty</v>
      </c>
      <c r="M328" t="str">
        <f>VLOOKUP(E324, Sales_Reps!$A$2:$E$31, 3, FALSE)</f>
        <v>South</v>
      </c>
      <c r="N328">
        <f>VLOOKUP(D328, Products!$A$2:$F$61, 4, FALSE)</f>
        <v>2617</v>
      </c>
    </row>
    <row r="329" spans="1:14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 t="str">
        <f>VLOOKUP(D329, Products!$A$2:$F$61, 3, FALSE)</f>
        <v>Apparel</v>
      </c>
      <c r="M329" t="str">
        <f>VLOOKUP(E325, Sales_Reps!$A$2:$E$31, 3, FALSE)</f>
        <v>North</v>
      </c>
      <c r="N329">
        <f>VLOOKUP(D329, Products!$A$2:$F$61, 4, FALSE)</f>
        <v>391</v>
      </c>
    </row>
    <row r="330" spans="1:14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 t="str">
        <f>VLOOKUP(D330, Products!$A$2:$F$61, 3, FALSE)</f>
        <v>Beauty</v>
      </c>
      <c r="M330" t="str">
        <f>VLOOKUP(E326, Sales_Reps!$A$2:$E$31, 3, FALSE)</f>
        <v>West</v>
      </c>
      <c r="N330">
        <f>VLOOKUP(D330, Products!$A$2:$F$61, 4, FALSE)</f>
        <v>1626</v>
      </c>
    </row>
    <row r="331" spans="1:14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 t="str">
        <f>VLOOKUP(D331, Products!$A$2:$F$61, 3, FALSE)</f>
        <v>Electronics</v>
      </c>
      <c r="M331" t="str">
        <f>VLOOKUP(E327, Sales_Reps!$A$2:$E$31, 3, FALSE)</f>
        <v>West</v>
      </c>
      <c r="N331">
        <f>VLOOKUP(D331, Products!$A$2:$F$61, 4, FALSE)</f>
        <v>1559</v>
      </c>
    </row>
    <row r="332" spans="1:14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 t="str">
        <f>VLOOKUP(D332, Products!$A$2:$F$61, 3, FALSE)</f>
        <v>Beauty</v>
      </c>
      <c r="M332" t="str">
        <f>VLOOKUP(E328, Sales_Reps!$A$2:$E$31, 3, FALSE)</f>
        <v>North</v>
      </c>
      <c r="N332">
        <f>VLOOKUP(D332, Products!$A$2:$F$61, 4, FALSE)</f>
        <v>2420</v>
      </c>
    </row>
    <row r="333" spans="1:14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 t="str">
        <f>VLOOKUP(D333, Products!$A$2:$F$61, 3, FALSE)</f>
        <v>Beauty</v>
      </c>
      <c r="M333" t="str">
        <f>VLOOKUP(E329, Sales_Reps!$A$2:$E$31, 3, FALSE)</f>
        <v>East</v>
      </c>
      <c r="N333">
        <f>VLOOKUP(D333, Products!$A$2:$F$61, 4, FALSE)</f>
        <v>2237</v>
      </c>
    </row>
    <row r="334" spans="1:14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 t="str">
        <f>VLOOKUP(D334, Products!$A$2:$F$61, 3, FALSE)</f>
        <v>Grocery</v>
      </c>
      <c r="M334" t="str">
        <f>VLOOKUP(E330, Sales_Reps!$A$2:$E$31, 3, FALSE)</f>
        <v>West</v>
      </c>
      <c r="N334">
        <f>VLOOKUP(D334, Products!$A$2:$F$61, 4, FALSE)</f>
        <v>2027</v>
      </c>
    </row>
    <row r="335" spans="1:14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 t="str">
        <f>VLOOKUP(D335, Products!$A$2:$F$61, 3, FALSE)</f>
        <v>Electronics</v>
      </c>
      <c r="M335" t="str">
        <f>VLOOKUP(E331, Sales_Reps!$A$2:$E$31, 3, FALSE)</f>
        <v>West</v>
      </c>
      <c r="N335">
        <f>VLOOKUP(D335, Products!$A$2:$F$61, 4, FALSE)</f>
        <v>2405</v>
      </c>
    </row>
    <row r="336" spans="1:14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 t="str">
        <f>VLOOKUP(D336, Products!$A$2:$F$61, 3, FALSE)</f>
        <v>Grocery</v>
      </c>
      <c r="M336" t="str">
        <f>VLOOKUP(E332, Sales_Reps!$A$2:$E$31, 3, FALSE)</f>
        <v>West</v>
      </c>
      <c r="N336">
        <f>VLOOKUP(D336, Products!$A$2:$F$61, 4, FALSE)</f>
        <v>1203</v>
      </c>
    </row>
    <row r="337" spans="1:14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 t="str">
        <f>VLOOKUP(D337, Products!$A$2:$F$61, 3, FALSE)</f>
        <v>Apparel</v>
      </c>
      <c r="M337" t="str">
        <f>VLOOKUP(E333, Sales_Reps!$A$2:$E$31, 3, FALSE)</f>
        <v>North</v>
      </c>
      <c r="N337">
        <f>VLOOKUP(D337, Products!$A$2:$F$61, 4, FALSE)</f>
        <v>1075</v>
      </c>
    </row>
    <row r="338" spans="1:14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 t="str">
        <f>VLOOKUP(D338, Products!$A$2:$F$61, 3, FALSE)</f>
        <v>Grocery</v>
      </c>
      <c r="M338" t="str">
        <f>VLOOKUP(E334, Sales_Reps!$A$2:$E$31, 3, FALSE)</f>
        <v>North</v>
      </c>
      <c r="N338">
        <f>VLOOKUP(D338, Products!$A$2:$F$61, 4, FALSE)</f>
        <v>1182</v>
      </c>
    </row>
    <row r="339" spans="1:14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 t="str">
        <f>VLOOKUP(D339, Products!$A$2:$F$61, 3, FALSE)</f>
        <v>Apparel</v>
      </c>
      <c r="M339" t="str">
        <f>VLOOKUP(E335, Sales_Reps!$A$2:$E$31, 3, FALSE)</f>
        <v>North</v>
      </c>
      <c r="N339">
        <f>VLOOKUP(D339, Products!$A$2:$F$61, 4, FALSE)</f>
        <v>1748</v>
      </c>
    </row>
    <row r="340" spans="1:14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 t="str">
        <f>VLOOKUP(D340, Products!$A$2:$F$61, 3, FALSE)</f>
        <v>Electronics</v>
      </c>
      <c r="M340" t="str">
        <f>VLOOKUP(E336, Sales_Reps!$A$2:$E$31, 3, FALSE)</f>
        <v>East</v>
      </c>
      <c r="N340">
        <f>VLOOKUP(D340, Products!$A$2:$F$61, 4, FALSE)</f>
        <v>1665</v>
      </c>
    </row>
    <row r="341" spans="1:14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 t="str">
        <f>VLOOKUP(D341, Products!$A$2:$F$61, 3, FALSE)</f>
        <v>Electronics</v>
      </c>
      <c r="M341" t="str">
        <f>VLOOKUP(E337, Sales_Reps!$A$2:$E$31, 3, FALSE)</f>
        <v>West</v>
      </c>
      <c r="N341">
        <f>VLOOKUP(D341, Products!$A$2:$F$61, 4, FALSE)</f>
        <v>2405</v>
      </c>
    </row>
    <row r="342" spans="1:14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 t="str">
        <f>VLOOKUP(D342, Products!$A$2:$F$61, 3, FALSE)</f>
        <v>Grocery</v>
      </c>
      <c r="M342" t="str">
        <f>VLOOKUP(E338, Sales_Reps!$A$2:$E$31, 3, FALSE)</f>
        <v>East</v>
      </c>
      <c r="N342">
        <f>VLOOKUP(D342, Products!$A$2:$F$61, 4, FALSE)</f>
        <v>2214</v>
      </c>
    </row>
    <row r="343" spans="1:14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 t="str">
        <f>VLOOKUP(D343, Products!$A$2:$F$61, 3, FALSE)</f>
        <v>Sports</v>
      </c>
      <c r="M343" t="str">
        <f>VLOOKUP(E339, Sales_Reps!$A$2:$E$31, 3, FALSE)</f>
        <v>North</v>
      </c>
      <c r="N343">
        <f>VLOOKUP(D343, Products!$A$2:$F$61, 4, FALSE)</f>
        <v>516</v>
      </c>
    </row>
    <row r="344" spans="1:14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 t="str">
        <f>VLOOKUP(D344, Products!$A$2:$F$61, 3, FALSE)</f>
        <v>Home</v>
      </c>
      <c r="M344" t="str">
        <f>VLOOKUP(E340, Sales_Reps!$A$2:$E$31, 3, FALSE)</f>
        <v>North</v>
      </c>
      <c r="N344">
        <f>VLOOKUP(D344, Products!$A$2:$F$61, 4, FALSE)</f>
        <v>519</v>
      </c>
    </row>
    <row r="345" spans="1:14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 t="str">
        <f>VLOOKUP(D345, Products!$A$2:$F$61, 3, FALSE)</f>
        <v>Sports</v>
      </c>
      <c r="M345" t="str">
        <f>VLOOKUP(E341, Sales_Reps!$A$2:$E$31, 3, FALSE)</f>
        <v>West</v>
      </c>
      <c r="N345">
        <f>VLOOKUP(D345, Products!$A$2:$F$61, 4, FALSE)</f>
        <v>2467</v>
      </c>
    </row>
    <row r="346" spans="1:14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 t="str">
        <f>VLOOKUP(D346, Products!$A$2:$F$61, 3, FALSE)</f>
        <v>Sports</v>
      </c>
      <c r="M346" t="str">
        <f>VLOOKUP(E342, Sales_Reps!$A$2:$E$31, 3, FALSE)</f>
        <v>West</v>
      </c>
      <c r="N346">
        <f>VLOOKUP(D346, Products!$A$2:$F$61, 4, FALSE)</f>
        <v>2827</v>
      </c>
    </row>
    <row r="347" spans="1:14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 t="str">
        <f>VLOOKUP(D347, Products!$A$2:$F$61, 3, FALSE)</f>
        <v>Beauty</v>
      </c>
      <c r="M347" t="str">
        <f>VLOOKUP(E343, Sales_Reps!$A$2:$E$31, 3, FALSE)</f>
        <v>South</v>
      </c>
      <c r="N347">
        <f>VLOOKUP(D347, Products!$A$2:$F$61, 4, FALSE)</f>
        <v>647</v>
      </c>
    </row>
    <row r="348" spans="1:14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 t="str">
        <f>VLOOKUP(D348, Products!$A$2:$F$61, 3, FALSE)</f>
        <v>Electronics</v>
      </c>
      <c r="M348" t="str">
        <f>VLOOKUP(E344, Sales_Reps!$A$2:$E$31, 3, FALSE)</f>
        <v>South</v>
      </c>
      <c r="N348">
        <f>VLOOKUP(D348, Products!$A$2:$F$61, 4, FALSE)</f>
        <v>1149</v>
      </c>
    </row>
    <row r="349" spans="1:14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 t="str">
        <f>VLOOKUP(D349, Products!$A$2:$F$61, 3, FALSE)</f>
        <v>Sports</v>
      </c>
      <c r="M349" t="str">
        <f>VLOOKUP(E345, Sales_Reps!$A$2:$E$31, 3, FALSE)</f>
        <v>South</v>
      </c>
      <c r="N349">
        <f>VLOOKUP(D349, Products!$A$2:$F$61, 4, FALSE)</f>
        <v>2265</v>
      </c>
    </row>
    <row r="350" spans="1:14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 t="str">
        <f>VLOOKUP(D350, Products!$A$2:$F$61, 3, FALSE)</f>
        <v>Electronics</v>
      </c>
      <c r="M350" t="str">
        <f>VLOOKUP(E346, Sales_Reps!$A$2:$E$31, 3, FALSE)</f>
        <v>South</v>
      </c>
      <c r="N350">
        <f>VLOOKUP(D350, Products!$A$2:$F$61, 4, FALSE)</f>
        <v>1665</v>
      </c>
    </row>
    <row r="351" spans="1:14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 t="str">
        <f>VLOOKUP(D351, Products!$A$2:$F$61, 3, FALSE)</f>
        <v>Home</v>
      </c>
      <c r="M351" t="str">
        <f>VLOOKUP(E347, Sales_Reps!$A$2:$E$31, 3, FALSE)</f>
        <v>North</v>
      </c>
      <c r="N351">
        <f>VLOOKUP(D351, Products!$A$2:$F$61, 4, FALSE)</f>
        <v>288</v>
      </c>
    </row>
    <row r="352" spans="1:14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 t="str">
        <f>VLOOKUP(D352, Products!$A$2:$F$61, 3, FALSE)</f>
        <v>Apparel</v>
      </c>
      <c r="M352" t="str">
        <f>VLOOKUP(E348, Sales_Reps!$A$2:$E$31, 3, FALSE)</f>
        <v>South</v>
      </c>
      <c r="N352">
        <f>VLOOKUP(D352, Products!$A$2:$F$61, 4, FALSE)</f>
        <v>1075</v>
      </c>
    </row>
    <row r="353" spans="1:14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 t="str">
        <f>VLOOKUP(D353, Products!$A$2:$F$61, 3, FALSE)</f>
        <v>Apparel</v>
      </c>
      <c r="M353" t="str">
        <f>VLOOKUP(E349, Sales_Reps!$A$2:$E$31, 3, FALSE)</f>
        <v>West</v>
      </c>
      <c r="N353">
        <f>VLOOKUP(D353, Products!$A$2:$F$61, 4, FALSE)</f>
        <v>2611</v>
      </c>
    </row>
    <row r="354" spans="1:14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 t="str">
        <f>VLOOKUP(D354, Products!$A$2:$F$61, 3, FALSE)</f>
        <v>Beauty</v>
      </c>
      <c r="M354" t="str">
        <f>VLOOKUP(E350, Sales_Reps!$A$2:$E$31, 3, FALSE)</f>
        <v>West</v>
      </c>
      <c r="N354">
        <f>VLOOKUP(D354, Products!$A$2:$F$61, 4, FALSE)</f>
        <v>1222</v>
      </c>
    </row>
    <row r="355" spans="1:14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 t="str">
        <f>VLOOKUP(D355, Products!$A$2:$F$61, 3, FALSE)</f>
        <v>Beauty</v>
      </c>
      <c r="M355" t="str">
        <f>VLOOKUP(E351, Sales_Reps!$A$2:$E$31, 3, FALSE)</f>
        <v>West</v>
      </c>
      <c r="N355">
        <f>VLOOKUP(D355, Products!$A$2:$F$61, 4, FALSE)</f>
        <v>675</v>
      </c>
    </row>
    <row r="356" spans="1:14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 t="str">
        <f>VLOOKUP(D356, Products!$A$2:$F$61, 3, FALSE)</f>
        <v>Grocery</v>
      </c>
      <c r="M356" t="str">
        <f>VLOOKUP(E352, Sales_Reps!$A$2:$E$31, 3, FALSE)</f>
        <v>East</v>
      </c>
      <c r="N356">
        <f>VLOOKUP(D356, Products!$A$2:$F$61, 4, FALSE)</f>
        <v>2436</v>
      </c>
    </row>
    <row r="357" spans="1:14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 t="str">
        <f>VLOOKUP(D357, Products!$A$2:$F$61, 3, FALSE)</f>
        <v>Beauty</v>
      </c>
      <c r="M357" t="str">
        <f>VLOOKUP(E353, Sales_Reps!$A$2:$E$31, 3, FALSE)</f>
        <v>East</v>
      </c>
      <c r="N357">
        <f>VLOOKUP(D357, Products!$A$2:$F$61, 4, FALSE)</f>
        <v>1222</v>
      </c>
    </row>
    <row r="358" spans="1:14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 t="str">
        <f>VLOOKUP(D358, Products!$A$2:$F$61, 3, FALSE)</f>
        <v>Apparel</v>
      </c>
      <c r="M358" t="str">
        <f>VLOOKUP(E354, Sales_Reps!$A$2:$E$31, 3, FALSE)</f>
        <v>West</v>
      </c>
      <c r="N358">
        <f>VLOOKUP(D358, Products!$A$2:$F$61, 4, FALSE)</f>
        <v>2509</v>
      </c>
    </row>
    <row r="359" spans="1:14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 t="str">
        <f>VLOOKUP(D359, Products!$A$2:$F$61, 3, FALSE)</f>
        <v>Grocery</v>
      </c>
      <c r="M359" t="str">
        <f>VLOOKUP(E355, Sales_Reps!$A$2:$E$31, 3, FALSE)</f>
        <v>West</v>
      </c>
      <c r="N359">
        <f>VLOOKUP(D359, Products!$A$2:$F$61, 4, FALSE)</f>
        <v>1412</v>
      </c>
    </row>
    <row r="360" spans="1:14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 t="str">
        <f>VLOOKUP(D360, Products!$A$2:$F$61, 3, FALSE)</f>
        <v>Beauty</v>
      </c>
      <c r="M360" t="str">
        <f>VLOOKUP(E356, Sales_Reps!$A$2:$E$31, 3, FALSE)</f>
        <v>East</v>
      </c>
      <c r="N360">
        <f>VLOOKUP(D360, Products!$A$2:$F$61, 4, FALSE)</f>
        <v>647</v>
      </c>
    </row>
    <row r="361" spans="1:14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 t="str">
        <f>VLOOKUP(D361, Products!$A$2:$F$61, 3, FALSE)</f>
        <v>Sports</v>
      </c>
      <c r="M361" t="str">
        <f>VLOOKUP(E357, Sales_Reps!$A$2:$E$31, 3, FALSE)</f>
        <v>South</v>
      </c>
      <c r="N361">
        <f>VLOOKUP(D361, Products!$A$2:$F$61, 4, FALSE)</f>
        <v>2028</v>
      </c>
    </row>
    <row r="362" spans="1:14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 t="str">
        <f>VLOOKUP(D362, Products!$A$2:$F$61, 3, FALSE)</f>
        <v>Grocery</v>
      </c>
      <c r="M362" t="str">
        <f>VLOOKUP(E358, Sales_Reps!$A$2:$E$31, 3, FALSE)</f>
        <v>South</v>
      </c>
      <c r="N362">
        <f>VLOOKUP(D362, Products!$A$2:$F$61, 4, FALSE)</f>
        <v>1010</v>
      </c>
    </row>
    <row r="363" spans="1:14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 t="str">
        <f>VLOOKUP(D363, Products!$A$2:$F$61, 3, FALSE)</f>
        <v>Electronics</v>
      </c>
      <c r="M363" t="str">
        <f>VLOOKUP(E359, Sales_Reps!$A$2:$E$31, 3, FALSE)</f>
        <v>West</v>
      </c>
      <c r="N363">
        <f>VLOOKUP(D363, Products!$A$2:$F$61, 4, FALSE)</f>
        <v>517</v>
      </c>
    </row>
    <row r="364" spans="1:14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 t="str">
        <f>VLOOKUP(D364, Products!$A$2:$F$61, 3, FALSE)</f>
        <v>Electronics</v>
      </c>
      <c r="M364" t="str">
        <f>VLOOKUP(E360, Sales_Reps!$A$2:$E$31, 3, FALSE)</f>
        <v>South</v>
      </c>
      <c r="N364">
        <f>VLOOKUP(D364, Products!$A$2:$F$61, 4, FALSE)</f>
        <v>1665</v>
      </c>
    </row>
    <row r="365" spans="1:14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 t="str">
        <f>VLOOKUP(D365, Products!$A$2:$F$61, 3, FALSE)</f>
        <v>Apparel</v>
      </c>
      <c r="M365" t="str">
        <f>VLOOKUP(E361, Sales_Reps!$A$2:$E$31, 3, FALSE)</f>
        <v>East</v>
      </c>
      <c r="N365">
        <f>VLOOKUP(D365, Products!$A$2:$F$61, 4, FALSE)</f>
        <v>1748</v>
      </c>
    </row>
    <row r="366" spans="1:14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 t="str">
        <f>VLOOKUP(D366, Products!$A$2:$F$61, 3, FALSE)</f>
        <v>Grocery</v>
      </c>
      <c r="M366" t="str">
        <f>VLOOKUP(E362, Sales_Reps!$A$2:$E$31, 3, FALSE)</f>
        <v>South</v>
      </c>
      <c r="N366">
        <f>VLOOKUP(D366, Products!$A$2:$F$61, 4, FALSE)</f>
        <v>1010</v>
      </c>
    </row>
    <row r="367" spans="1:14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 t="str">
        <f>VLOOKUP(D367, Products!$A$2:$F$61, 3, FALSE)</f>
        <v>Home</v>
      </c>
      <c r="M367" t="str">
        <f>VLOOKUP(E363, Sales_Reps!$A$2:$E$31, 3, FALSE)</f>
        <v>West</v>
      </c>
      <c r="N367">
        <f>VLOOKUP(D367, Products!$A$2:$F$61, 4, FALSE)</f>
        <v>464</v>
      </c>
    </row>
    <row r="368" spans="1:14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 t="str">
        <f>VLOOKUP(D368, Products!$A$2:$F$61, 3, FALSE)</f>
        <v>Beauty</v>
      </c>
      <c r="M368" t="str">
        <f>VLOOKUP(E364, Sales_Reps!$A$2:$E$31, 3, FALSE)</f>
        <v>North</v>
      </c>
      <c r="N368">
        <f>VLOOKUP(D368, Products!$A$2:$F$61, 4, FALSE)</f>
        <v>647</v>
      </c>
    </row>
    <row r="369" spans="1:14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 t="str">
        <f>VLOOKUP(D369, Products!$A$2:$F$61, 3, FALSE)</f>
        <v>Electronics</v>
      </c>
      <c r="M369" t="str">
        <f>VLOOKUP(E365, Sales_Reps!$A$2:$E$31, 3, FALSE)</f>
        <v>South</v>
      </c>
      <c r="N369">
        <f>VLOOKUP(D369, Products!$A$2:$F$61, 4, FALSE)</f>
        <v>1052</v>
      </c>
    </row>
    <row r="370" spans="1:14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 t="str">
        <f>VLOOKUP(D370, Products!$A$2:$F$61, 3, FALSE)</f>
        <v>Sports</v>
      </c>
      <c r="M370" t="str">
        <f>VLOOKUP(E366, Sales_Reps!$A$2:$E$31, 3, FALSE)</f>
        <v>East</v>
      </c>
      <c r="N370">
        <f>VLOOKUP(D370, Products!$A$2:$F$61, 4, FALSE)</f>
        <v>147</v>
      </c>
    </row>
    <row r="371" spans="1:14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 t="str">
        <f>VLOOKUP(D371, Products!$A$2:$F$61, 3, FALSE)</f>
        <v>Apparel</v>
      </c>
      <c r="M371" t="str">
        <f>VLOOKUP(E367, Sales_Reps!$A$2:$E$31, 3, FALSE)</f>
        <v>South</v>
      </c>
      <c r="N371">
        <f>VLOOKUP(D371, Products!$A$2:$F$61, 4, FALSE)</f>
        <v>1173</v>
      </c>
    </row>
    <row r="372" spans="1:14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 t="str">
        <f>VLOOKUP(D372, Products!$A$2:$F$61, 3, FALSE)</f>
        <v>Beauty</v>
      </c>
      <c r="M372" t="str">
        <f>VLOOKUP(E368, Sales_Reps!$A$2:$E$31, 3, FALSE)</f>
        <v>East</v>
      </c>
      <c r="N372">
        <f>VLOOKUP(D372, Products!$A$2:$F$61, 4, FALSE)</f>
        <v>1219</v>
      </c>
    </row>
    <row r="373" spans="1:14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 t="str">
        <f>VLOOKUP(D373, Products!$A$2:$F$61, 3, FALSE)</f>
        <v>Beauty</v>
      </c>
      <c r="M373" t="str">
        <f>VLOOKUP(E369, Sales_Reps!$A$2:$E$31, 3, FALSE)</f>
        <v>West</v>
      </c>
      <c r="N373">
        <f>VLOOKUP(D373, Products!$A$2:$F$61, 4, FALSE)</f>
        <v>647</v>
      </c>
    </row>
    <row r="374" spans="1:14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 t="str">
        <f>VLOOKUP(D374, Products!$A$2:$F$61, 3, FALSE)</f>
        <v>Home</v>
      </c>
      <c r="M374" t="str">
        <f>VLOOKUP(E370, Sales_Reps!$A$2:$E$31, 3, FALSE)</f>
        <v>North</v>
      </c>
      <c r="N374">
        <f>VLOOKUP(D374, Products!$A$2:$F$61, 4, FALSE)</f>
        <v>2459</v>
      </c>
    </row>
    <row r="375" spans="1:14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 t="str">
        <f>VLOOKUP(D375, Products!$A$2:$F$61, 3, FALSE)</f>
        <v>Apparel</v>
      </c>
      <c r="M375" t="str">
        <f>VLOOKUP(E371, Sales_Reps!$A$2:$E$31, 3, FALSE)</f>
        <v>South</v>
      </c>
      <c r="N375">
        <f>VLOOKUP(D375, Products!$A$2:$F$61, 4, FALSE)</f>
        <v>1075</v>
      </c>
    </row>
    <row r="376" spans="1:14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 t="str">
        <f>VLOOKUP(D376, Products!$A$2:$F$61, 3, FALSE)</f>
        <v>Beauty</v>
      </c>
      <c r="M376" t="str">
        <f>VLOOKUP(E372, Sales_Reps!$A$2:$E$31, 3, FALSE)</f>
        <v>North</v>
      </c>
      <c r="N376">
        <f>VLOOKUP(D376, Products!$A$2:$F$61, 4, FALSE)</f>
        <v>1219</v>
      </c>
    </row>
    <row r="377" spans="1:14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 t="str">
        <f>VLOOKUP(D377, Products!$A$2:$F$61, 3, FALSE)</f>
        <v>Sports</v>
      </c>
      <c r="M377" t="str">
        <f>VLOOKUP(E373, Sales_Reps!$A$2:$E$31, 3, FALSE)</f>
        <v>South</v>
      </c>
      <c r="N377">
        <f>VLOOKUP(D377, Products!$A$2:$F$61, 4, FALSE)</f>
        <v>302</v>
      </c>
    </row>
    <row r="378" spans="1:14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 t="str">
        <f>VLOOKUP(D378, Products!$A$2:$F$61, 3, FALSE)</f>
        <v>Beauty</v>
      </c>
      <c r="M378" t="str">
        <f>VLOOKUP(E374, Sales_Reps!$A$2:$E$31, 3, FALSE)</f>
        <v>West</v>
      </c>
      <c r="N378">
        <f>VLOOKUP(D378, Products!$A$2:$F$61, 4, FALSE)</f>
        <v>2237</v>
      </c>
    </row>
    <row r="379" spans="1:14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 t="str">
        <f>VLOOKUP(D379, Products!$A$2:$F$61, 3, FALSE)</f>
        <v>Electronics</v>
      </c>
      <c r="M379" t="str">
        <f>VLOOKUP(E375, Sales_Reps!$A$2:$E$31, 3, FALSE)</f>
        <v>South</v>
      </c>
      <c r="N379">
        <f>VLOOKUP(D379, Products!$A$2:$F$61, 4, FALSE)</f>
        <v>2405</v>
      </c>
    </row>
    <row r="380" spans="1:14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 t="str">
        <f>VLOOKUP(D380, Products!$A$2:$F$61, 3, FALSE)</f>
        <v>Home</v>
      </c>
      <c r="M380" t="str">
        <f>VLOOKUP(E376, Sales_Reps!$A$2:$E$31, 3, FALSE)</f>
        <v>South</v>
      </c>
      <c r="N380">
        <f>VLOOKUP(D380, Products!$A$2:$F$61, 4, FALSE)</f>
        <v>1143</v>
      </c>
    </row>
    <row r="381" spans="1:14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 t="str">
        <f>VLOOKUP(D381, Products!$A$2:$F$61, 3, FALSE)</f>
        <v>Home</v>
      </c>
      <c r="M381" t="str">
        <f>VLOOKUP(E377, Sales_Reps!$A$2:$E$31, 3, FALSE)</f>
        <v>North</v>
      </c>
      <c r="N381">
        <f>VLOOKUP(D381, Products!$A$2:$F$61, 4, FALSE)</f>
        <v>2459</v>
      </c>
    </row>
    <row r="382" spans="1:14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 t="str">
        <f>VLOOKUP(D382, Products!$A$2:$F$61, 3, FALSE)</f>
        <v>Grocery</v>
      </c>
      <c r="M382" t="str">
        <f>VLOOKUP(E378, Sales_Reps!$A$2:$E$31, 3, FALSE)</f>
        <v>South</v>
      </c>
      <c r="N382">
        <f>VLOOKUP(D382, Products!$A$2:$F$61, 4, FALSE)</f>
        <v>1182</v>
      </c>
    </row>
    <row r="383" spans="1:14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 t="str">
        <f>VLOOKUP(D383, Products!$A$2:$F$61, 3, FALSE)</f>
        <v>Beauty</v>
      </c>
      <c r="M383" t="str">
        <f>VLOOKUP(E379, Sales_Reps!$A$2:$E$31, 3, FALSE)</f>
        <v>South</v>
      </c>
      <c r="N383">
        <f>VLOOKUP(D383, Products!$A$2:$F$61, 4, FALSE)</f>
        <v>647</v>
      </c>
    </row>
    <row r="384" spans="1:14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 t="str">
        <f>VLOOKUP(D384, Products!$A$2:$F$61, 3, FALSE)</f>
        <v>Grocery</v>
      </c>
      <c r="M384" t="str">
        <f>VLOOKUP(E380, Sales_Reps!$A$2:$E$31, 3, FALSE)</f>
        <v>West</v>
      </c>
      <c r="N384">
        <f>VLOOKUP(D384, Products!$A$2:$F$61, 4, FALSE)</f>
        <v>1203</v>
      </c>
    </row>
    <row r="385" spans="1:14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 t="str">
        <f>VLOOKUP(D385, Products!$A$2:$F$61, 3, FALSE)</f>
        <v>Apparel</v>
      </c>
      <c r="M385" t="str">
        <f>VLOOKUP(E381, Sales_Reps!$A$2:$E$31, 3, FALSE)</f>
        <v>North</v>
      </c>
      <c r="N385">
        <f>VLOOKUP(D385, Products!$A$2:$F$61, 4, FALSE)</f>
        <v>1173</v>
      </c>
    </row>
    <row r="386" spans="1:14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 t="str">
        <f>VLOOKUP(D386, Products!$A$2:$F$61, 3, FALSE)</f>
        <v>Apparel</v>
      </c>
      <c r="M386" t="str">
        <f>VLOOKUP(E382, Sales_Reps!$A$2:$E$31, 3, FALSE)</f>
        <v>South</v>
      </c>
      <c r="N386">
        <f>VLOOKUP(D386, Products!$A$2:$F$61, 4, FALSE)</f>
        <v>2629</v>
      </c>
    </row>
    <row r="387" spans="1:14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 t="str">
        <f>VLOOKUP(D387, Products!$A$2:$F$61, 3, FALSE)</f>
        <v>Electronics</v>
      </c>
      <c r="M387" t="str">
        <f>VLOOKUP(E383, Sales_Reps!$A$2:$E$31, 3, FALSE)</f>
        <v>West</v>
      </c>
      <c r="N387">
        <f>VLOOKUP(D387, Products!$A$2:$F$61, 4, FALSE)</f>
        <v>1259</v>
      </c>
    </row>
    <row r="388" spans="1:14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 t="str">
        <f>VLOOKUP(D388, Products!$A$2:$F$61, 3, FALSE)</f>
        <v>Electronics</v>
      </c>
      <c r="M388" t="str">
        <f>VLOOKUP(E384, Sales_Reps!$A$2:$E$31, 3, FALSE)</f>
        <v>West</v>
      </c>
      <c r="N388">
        <f>VLOOKUP(D388, Products!$A$2:$F$61, 4, FALSE)</f>
        <v>517</v>
      </c>
    </row>
    <row r="389" spans="1:14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 t="str">
        <f>VLOOKUP(D389, Products!$A$2:$F$61, 3, FALSE)</f>
        <v>Electronics</v>
      </c>
      <c r="M389" t="str">
        <f>VLOOKUP(E385, Sales_Reps!$A$2:$E$31, 3, FALSE)</f>
        <v>West</v>
      </c>
      <c r="N389">
        <f>VLOOKUP(D389, Products!$A$2:$F$61, 4, FALSE)</f>
        <v>1052</v>
      </c>
    </row>
    <row r="390" spans="1:14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 t="str">
        <f>VLOOKUP(D390, Products!$A$2:$F$61, 3, FALSE)</f>
        <v>Apparel</v>
      </c>
      <c r="M390" t="str">
        <f>VLOOKUP(E386, Sales_Reps!$A$2:$E$31, 3, FALSE)</f>
        <v>East</v>
      </c>
      <c r="N390">
        <f>VLOOKUP(D390, Products!$A$2:$F$61, 4, FALSE)</f>
        <v>1748</v>
      </c>
    </row>
    <row r="391" spans="1:14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 t="str">
        <f>VLOOKUP(D391, Products!$A$2:$F$61, 3, FALSE)</f>
        <v>Sports</v>
      </c>
      <c r="M391" t="str">
        <f>VLOOKUP(E387, Sales_Reps!$A$2:$E$31, 3, FALSE)</f>
        <v>North</v>
      </c>
      <c r="N391">
        <f>VLOOKUP(D391, Products!$A$2:$F$61, 4, FALSE)</f>
        <v>2827</v>
      </c>
    </row>
    <row r="392" spans="1:14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 t="str">
        <f>VLOOKUP(D392, Products!$A$2:$F$61, 3, FALSE)</f>
        <v>Beauty</v>
      </c>
      <c r="M392" t="str">
        <f>VLOOKUP(E388, Sales_Reps!$A$2:$E$31, 3, FALSE)</f>
        <v>South</v>
      </c>
      <c r="N392">
        <f>VLOOKUP(D392, Products!$A$2:$F$61, 4, FALSE)</f>
        <v>1728</v>
      </c>
    </row>
    <row r="393" spans="1:14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 t="str">
        <f>VLOOKUP(D393, Products!$A$2:$F$61, 3, FALSE)</f>
        <v>Beauty</v>
      </c>
      <c r="M393" t="str">
        <f>VLOOKUP(E389, Sales_Reps!$A$2:$E$31, 3, FALSE)</f>
        <v>South</v>
      </c>
      <c r="N393">
        <f>VLOOKUP(D393, Products!$A$2:$F$61, 4, FALSE)</f>
        <v>647</v>
      </c>
    </row>
    <row r="394" spans="1:14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 t="str">
        <f>VLOOKUP(D394, Products!$A$2:$F$61, 3, FALSE)</f>
        <v>Apparel</v>
      </c>
      <c r="M394" t="str">
        <f>VLOOKUP(E390, Sales_Reps!$A$2:$E$31, 3, FALSE)</f>
        <v>East</v>
      </c>
      <c r="N394">
        <f>VLOOKUP(D394, Products!$A$2:$F$61, 4, FALSE)</f>
        <v>2509</v>
      </c>
    </row>
    <row r="395" spans="1:14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 t="str">
        <f>VLOOKUP(D395, Products!$A$2:$F$61, 3, FALSE)</f>
        <v>Sports</v>
      </c>
      <c r="M395" t="str">
        <f>VLOOKUP(E391, Sales_Reps!$A$2:$E$31, 3, FALSE)</f>
        <v>East</v>
      </c>
      <c r="N395">
        <f>VLOOKUP(D395, Products!$A$2:$F$61, 4, FALSE)</f>
        <v>302</v>
      </c>
    </row>
    <row r="396" spans="1:14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 t="str">
        <f>VLOOKUP(D396, Products!$A$2:$F$61, 3, FALSE)</f>
        <v>Grocery</v>
      </c>
      <c r="M396" t="str">
        <f>VLOOKUP(E392, Sales_Reps!$A$2:$E$31, 3, FALSE)</f>
        <v>North</v>
      </c>
      <c r="N396">
        <f>VLOOKUP(D396, Products!$A$2:$F$61, 4, FALSE)</f>
        <v>2214</v>
      </c>
    </row>
    <row r="397" spans="1:14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 t="str">
        <f>VLOOKUP(D397, Products!$A$2:$F$61, 3, FALSE)</f>
        <v>Sports</v>
      </c>
      <c r="M397" t="str">
        <f>VLOOKUP(E393, Sales_Reps!$A$2:$E$31, 3, FALSE)</f>
        <v>West</v>
      </c>
      <c r="N397">
        <f>VLOOKUP(D397, Products!$A$2:$F$61, 4, FALSE)</f>
        <v>2827</v>
      </c>
    </row>
    <row r="398" spans="1:14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 t="str">
        <f>VLOOKUP(D398, Products!$A$2:$F$61, 3, FALSE)</f>
        <v>Beauty</v>
      </c>
      <c r="M398" t="str">
        <f>VLOOKUP(E394, Sales_Reps!$A$2:$E$31, 3, FALSE)</f>
        <v>West</v>
      </c>
      <c r="N398">
        <f>VLOOKUP(D398, Products!$A$2:$F$61, 4, FALSE)</f>
        <v>1219</v>
      </c>
    </row>
    <row r="399" spans="1:14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 t="str">
        <f>VLOOKUP(D399, Products!$A$2:$F$61, 3, FALSE)</f>
        <v>Apparel</v>
      </c>
      <c r="M399" t="str">
        <f>VLOOKUP(E395, Sales_Reps!$A$2:$E$31, 3, FALSE)</f>
        <v>West</v>
      </c>
      <c r="N399">
        <f>VLOOKUP(D399, Products!$A$2:$F$61, 4, FALSE)</f>
        <v>1886</v>
      </c>
    </row>
    <row r="400" spans="1:14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 t="str">
        <f>VLOOKUP(D400, Products!$A$2:$F$61, 3, FALSE)</f>
        <v>Home</v>
      </c>
      <c r="M400" t="str">
        <f>VLOOKUP(E396, Sales_Reps!$A$2:$E$31, 3, FALSE)</f>
        <v>South</v>
      </c>
      <c r="N400">
        <f>VLOOKUP(D400, Products!$A$2:$F$61, 4, FALSE)</f>
        <v>2459</v>
      </c>
    </row>
    <row r="401" spans="1:14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 t="str">
        <f>VLOOKUP(D401, Products!$A$2:$F$61, 3, FALSE)</f>
        <v>Grocery</v>
      </c>
      <c r="M401" t="str">
        <f>VLOOKUP(E397, Sales_Reps!$A$2:$E$31, 3, FALSE)</f>
        <v>East</v>
      </c>
      <c r="N401">
        <f>VLOOKUP(D401, Products!$A$2:$F$61, 4, FALSE)</f>
        <v>1435</v>
      </c>
    </row>
    <row r="402" spans="1:14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 t="str">
        <f>VLOOKUP(D402, Products!$A$2:$F$61, 3, FALSE)</f>
        <v>Electronics</v>
      </c>
      <c r="M402" t="str">
        <f>VLOOKUP(E398, Sales_Reps!$A$2:$E$31, 3, FALSE)</f>
        <v>North</v>
      </c>
      <c r="N402">
        <f>VLOOKUP(D402, Products!$A$2:$F$61, 4, FALSE)</f>
        <v>517</v>
      </c>
    </row>
    <row r="403" spans="1:14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 t="str">
        <f>VLOOKUP(D403, Products!$A$2:$F$61, 3, FALSE)</f>
        <v>Beauty</v>
      </c>
      <c r="M403" t="str">
        <f>VLOOKUP(E399, Sales_Reps!$A$2:$E$31, 3, FALSE)</f>
        <v>West</v>
      </c>
      <c r="N403">
        <f>VLOOKUP(D403, Products!$A$2:$F$61, 4, FALSE)</f>
        <v>2768</v>
      </c>
    </row>
    <row r="404" spans="1:14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 t="str">
        <f>VLOOKUP(D404, Products!$A$2:$F$61, 3, FALSE)</f>
        <v>Grocery</v>
      </c>
      <c r="M404" t="str">
        <f>VLOOKUP(E400, Sales_Reps!$A$2:$E$31, 3, FALSE)</f>
        <v>West</v>
      </c>
      <c r="N404">
        <f>VLOOKUP(D404, Products!$A$2:$F$61, 4, FALSE)</f>
        <v>2027</v>
      </c>
    </row>
    <row r="405" spans="1:14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 t="str">
        <f>VLOOKUP(D405, Products!$A$2:$F$61, 3, FALSE)</f>
        <v>Electronics</v>
      </c>
      <c r="M405" t="str">
        <f>VLOOKUP(E401, Sales_Reps!$A$2:$E$31, 3, FALSE)</f>
        <v>South</v>
      </c>
      <c r="N405">
        <f>VLOOKUP(D405, Products!$A$2:$F$61, 4, FALSE)</f>
        <v>2865</v>
      </c>
    </row>
    <row r="406" spans="1:14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 t="str">
        <f>VLOOKUP(D406, Products!$A$2:$F$61, 3, FALSE)</f>
        <v>Electronics</v>
      </c>
      <c r="M406" t="str">
        <f>VLOOKUP(E402, Sales_Reps!$A$2:$E$31, 3, FALSE)</f>
        <v>South</v>
      </c>
      <c r="N406">
        <f>VLOOKUP(D406, Products!$A$2:$F$61, 4, FALSE)</f>
        <v>1259</v>
      </c>
    </row>
    <row r="407" spans="1:14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 t="str">
        <f>VLOOKUP(D407, Products!$A$2:$F$61, 3, FALSE)</f>
        <v>Sports</v>
      </c>
      <c r="M407" t="str">
        <f>VLOOKUP(E403, Sales_Reps!$A$2:$E$31, 3, FALSE)</f>
        <v>West</v>
      </c>
      <c r="N407">
        <f>VLOOKUP(D407, Products!$A$2:$F$61, 4, FALSE)</f>
        <v>2028</v>
      </c>
    </row>
    <row r="408" spans="1:14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 t="str">
        <f>VLOOKUP(D408, Products!$A$2:$F$61, 3, FALSE)</f>
        <v>Electronics</v>
      </c>
      <c r="M408" t="str">
        <f>VLOOKUP(E404, Sales_Reps!$A$2:$E$31, 3, FALSE)</f>
        <v>East</v>
      </c>
      <c r="N408">
        <f>VLOOKUP(D408, Products!$A$2:$F$61, 4, FALSE)</f>
        <v>517</v>
      </c>
    </row>
    <row r="409" spans="1:14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 t="str">
        <f>VLOOKUP(D409, Products!$A$2:$F$61, 3, FALSE)</f>
        <v>Grocery</v>
      </c>
      <c r="M409" t="str">
        <f>VLOOKUP(E405, Sales_Reps!$A$2:$E$31, 3, FALSE)</f>
        <v>West</v>
      </c>
      <c r="N409">
        <f>VLOOKUP(D409, Products!$A$2:$F$61, 4, FALSE)</f>
        <v>1412</v>
      </c>
    </row>
    <row r="410" spans="1:14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 t="str">
        <f>VLOOKUP(D410, Products!$A$2:$F$61, 3, FALSE)</f>
        <v>Home</v>
      </c>
      <c r="M410" t="str">
        <f>VLOOKUP(E406, Sales_Reps!$A$2:$E$31, 3, FALSE)</f>
        <v>East</v>
      </c>
      <c r="N410">
        <f>VLOOKUP(D410, Products!$A$2:$F$61, 4, FALSE)</f>
        <v>329</v>
      </c>
    </row>
    <row r="411" spans="1:14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 t="str">
        <f>VLOOKUP(D411, Products!$A$2:$F$61, 3, FALSE)</f>
        <v>Apparel</v>
      </c>
      <c r="M411" t="str">
        <f>VLOOKUP(E407, Sales_Reps!$A$2:$E$31, 3, FALSE)</f>
        <v>East</v>
      </c>
      <c r="N411">
        <f>VLOOKUP(D411, Products!$A$2:$F$61, 4, FALSE)</f>
        <v>1886</v>
      </c>
    </row>
    <row r="412" spans="1:14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 t="str">
        <f>VLOOKUP(D412, Products!$A$2:$F$61, 3, FALSE)</f>
        <v>Electronics</v>
      </c>
      <c r="M412" t="str">
        <f>VLOOKUP(E408, Sales_Reps!$A$2:$E$31, 3, FALSE)</f>
        <v>North</v>
      </c>
      <c r="N412">
        <f>VLOOKUP(D412, Products!$A$2:$F$61, 4, FALSE)</f>
        <v>1052</v>
      </c>
    </row>
    <row r="413" spans="1:14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 t="str">
        <f>VLOOKUP(D413, Products!$A$2:$F$61, 3, FALSE)</f>
        <v>Home</v>
      </c>
      <c r="M413" t="str">
        <f>VLOOKUP(E409, Sales_Reps!$A$2:$E$31, 3, FALSE)</f>
        <v>West</v>
      </c>
      <c r="N413">
        <f>VLOOKUP(D413, Products!$A$2:$F$61, 4, FALSE)</f>
        <v>1850</v>
      </c>
    </row>
    <row r="414" spans="1:14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 t="str">
        <f>VLOOKUP(D414, Products!$A$2:$F$61, 3, FALSE)</f>
        <v>Apparel</v>
      </c>
      <c r="M414" t="str">
        <f>VLOOKUP(E410, Sales_Reps!$A$2:$E$31, 3, FALSE)</f>
        <v>North</v>
      </c>
      <c r="N414">
        <f>VLOOKUP(D414, Products!$A$2:$F$61, 4, FALSE)</f>
        <v>2611</v>
      </c>
    </row>
    <row r="415" spans="1:14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 t="str">
        <f>VLOOKUP(D415, Products!$A$2:$F$61, 3, FALSE)</f>
        <v>Apparel</v>
      </c>
      <c r="M415" t="str">
        <f>VLOOKUP(E411, Sales_Reps!$A$2:$E$31, 3, FALSE)</f>
        <v>South</v>
      </c>
      <c r="N415">
        <f>VLOOKUP(D415, Products!$A$2:$F$61, 4, FALSE)</f>
        <v>1962</v>
      </c>
    </row>
    <row r="416" spans="1:14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 t="str">
        <f>VLOOKUP(D416, Products!$A$2:$F$61, 3, FALSE)</f>
        <v>Sports</v>
      </c>
      <c r="M416" t="str">
        <f>VLOOKUP(E412, Sales_Reps!$A$2:$E$31, 3, FALSE)</f>
        <v>South</v>
      </c>
      <c r="N416">
        <f>VLOOKUP(D416, Products!$A$2:$F$61, 4, FALSE)</f>
        <v>1860</v>
      </c>
    </row>
    <row r="417" spans="1:14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 t="str">
        <f>VLOOKUP(D417, Products!$A$2:$F$61, 3, FALSE)</f>
        <v>Home</v>
      </c>
      <c r="M417" t="str">
        <f>VLOOKUP(E413, Sales_Reps!$A$2:$E$31, 3, FALSE)</f>
        <v>South</v>
      </c>
      <c r="N417">
        <f>VLOOKUP(D417, Products!$A$2:$F$61, 4, FALSE)</f>
        <v>464</v>
      </c>
    </row>
    <row r="418" spans="1:14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 t="str">
        <f>VLOOKUP(D418, Products!$A$2:$F$61, 3, FALSE)</f>
        <v>Home</v>
      </c>
      <c r="M418" t="str">
        <f>VLOOKUP(E414, Sales_Reps!$A$2:$E$31, 3, FALSE)</f>
        <v>East</v>
      </c>
      <c r="N418">
        <f>VLOOKUP(D418, Products!$A$2:$F$61, 4, FALSE)</f>
        <v>464</v>
      </c>
    </row>
    <row r="419" spans="1:14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 t="str">
        <f>VLOOKUP(D419, Products!$A$2:$F$61, 3, FALSE)</f>
        <v>Apparel</v>
      </c>
      <c r="M419" t="str">
        <f>VLOOKUP(E415, Sales_Reps!$A$2:$E$31, 3, FALSE)</f>
        <v>North</v>
      </c>
      <c r="N419">
        <f>VLOOKUP(D419, Products!$A$2:$F$61, 4, FALSE)</f>
        <v>1075</v>
      </c>
    </row>
    <row r="420" spans="1:14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 t="str">
        <f>VLOOKUP(D420, Products!$A$2:$F$61, 3, FALSE)</f>
        <v>Electronics</v>
      </c>
      <c r="M420" t="str">
        <f>VLOOKUP(E416, Sales_Reps!$A$2:$E$31, 3, FALSE)</f>
        <v>North</v>
      </c>
      <c r="N420">
        <f>VLOOKUP(D420, Products!$A$2:$F$61, 4, FALSE)</f>
        <v>2865</v>
      </c>
    </row>
    <row r="421" spans="1:14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 t="str">
        <f>VLOOKUP(D421, Products!$A$2:$F$61, 3, FALSE)</f>
        <v>Grocery</v>
      </c>
      <c r="M421" t="str">
        <f>VLOOKUP(E417, Sales_Reps!$A$2:$E$31, 3, FALSE)</f>
        <v>West</v>
      </c>
      <c r="N421">
        <f>VLOOKUP(D421, Products!$A$2:$F$61, 4, FALSE)</f>
        <v>2027</v>
      </c>
    </row>
    <row r="422" spans="1:14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 t="str">
        <f>VLOOKUP(D422, Products!$A$2:$F$61, 3, FALSE)</f>
        <v>Home</v>
      </c>
      <c r="M422" t="str">
        <f>VLOOKUP(E418, Sales_Reps!$A$2:$E$31, 3, FALSE)</f>
        <v>West</v>
      </c>
      <c r="N422">
        <f>VLOOKUP(D422, Products!$A$2:$F$61, 4, FALSE)</f>
        <v>2549</v>
      </c>
    </row>
    <row r="423" spans="1:14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 t="str">
        <f>VLOOKUP(D423, Products!$A$2:$F$61, 3, FALSE)</f>
        <v>Sports</v>
      </c>
      <c r="M423" t="str">
        <f>VLOOKUP(E419, Sales_Reps!$A$2:$E$31, 3, FALSE)</f>
        <v>West</v>
      </c>
      <c r="N423">
        <f>VLOOKUP(D423, Products!$A$2:$F$61, 4, FALSE)</f>
        <v>516</v>
      </c>
    </row>
    <row r="424" spans="1:14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 t="str">
        <f>VLOOKUP(D424, Products!$A$2:$F$61, 3, FALSE)</f>
        <v>Grocery</v>
      </c>
      <c r="M424" t="str">
        <f>VLOOKUP(E420, Sales_Reps!$A$2:$E$31, 3, FALSE)</f>
        <v>South</v>
      </c>
      <c r="N424">
        <f>VLOOKUP(D424, Products!$A$2:$F$61, 4, FALSE)</f>
        <v>2214</v>
      </c>
    </row>
    <row r="425" spans="1:14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 t="str">
        <f>VLOOKUP(D425, Products!$A$2:$F$61, 3, FALSE)</f>
        <v>Beauty</v>
      </c>
      <c r="M425" t="str">
        <f>VLOOKUP(E421, Sales_Reps!$A$2:$E$31, 3, FALSE)</f>
        <v>North</v>
      </c>
      <c r="N425">
        <f>VLOOKUP(D425, Products!$A$2:$F$61, 4, FALSE)</f>
        <v>2420</v>
      </c>
    </row>
    <row r="426" spans="1:14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 t="str">
        <f>VLOOKUP(D426, Products!$A$2:$F$61, 3, FALSE)</f>
        <v>Grocery</v>
      </c>
      <c r="M426" t="str">
        <f>VLOOKUP(E422, Sales_Reps!$A$2:$E$31, 3, FALSE)</f>
        <v>North</v>
      </c>
      <c r="N426">
        <f>VLOOKUP(D426, Products!$A$2:$F$61, 4, FALSE)</f>
        <v>2027</v>
      </c>
    </row>
    <row r="427" spans="1:14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 t="str">
        <f>VLOOKUP(D427, Products!$A$2:$F$61, 3, FALSE)</f>
        <v>Electronics</v>
      </c>
      <c r="M427" t="str">
        <f>VLOOKUP(E423, Sales_Reps!$A$2:$E$31, 3, FALSE)</f>
        <v>East</v>
      </c>
      <c r="N427">
        <f>VLOOKUP(D427, Products!$A$2:$F$61, 4, FALSE)</f>
        <v>1665</v>
      </c>
    </row>
    <row r="428" spans="1:14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 t="str">
        <f>VLOOKUP(D428, Products!$A$2:$F$61, 3, FALSE)</f>
        <v>Sports</v>
      </c>
      <c r="M428" t="str">
        <f>VLOOKUP(E424, Sales_Reps!$A$2:$E$31, 3, FALSE)</f>
        <v>North</v>
      </c>
      <c r="N428">
        <f>VLOOKUP(D428, Products!$A$2:$F$61, 4, FALSE)</f>
        <v>2827</v>
      </c>
    </row>
    <row r="429" spans="1:14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 t="str">
        <f>VLOOKUP(D429, Products!$A$2:$F$61, 3, FALSE)</f>
        <v>Beauty</v>
      </c>
      <c r="M429" t="str">
        <f>VLOOKUP(E425, Sales_Reps!$A$2:$E$31, 3, FALSE)</f>
        <v>South</v>
      </c>
      <c r="N429">
        <f>VLOOKUP(D429, Products!$A$2:$F$61, 4, FALSE)</f>
        <v>1222</v>
      </c>
    </row>
    <row r="430" spans="1:14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 t="str">
        <f>VLOOKUP(D430, Products!$A$2:$F$61, 3, FALSE)</f>
        <v>Electronics</v>
      </c>
      <c r="M430" t="str">
        <f>VLOOKUP(E426, Sales_Reps!$A$2:$E$31, 3, FALSE)</f>
        <v>South</v>
      </c>
      <c r="N430">
        <f>VLOOKUP(D430, Products!$A$2:$F$61, 4, FALSE)</f>
        <v>861</v>
      </c>
    </row>
    <row r="431" spans="1:14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 t="str">
        <f>VLOOKUP(D431, Products!$A$2:$F$61, 3, FALSE)</f>
        <v>Grocery</v>
      </c>
      <c r="M431" t="str">
        <f>VLOOKUP(E427, Sales_Reps!$A$2:$E$31, 3, FALSE)</f>
        <v>West</v>
      </c>
      <c r="N431">
        <f>VLOOKUP(D431, Products!$A$2:$F$61, 4, FALSE)</f>
        <v>2911</v>
      </c>
    </row>
    <row r="432" spans="1:14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 t="str">
        <f>VLOOKUP(D432, Products!$A$2:$F$61, 3, FALSE)</f>
        <v>Home</v>
      </c>
      <c r="M432" t="str">
        <f>VLOOKUP(E428, Sales_Reps!$A$2:$E$31, 3, FALSE)</f>
        <v>North</v>
      </c>
      <c r="N432">
        <f>VLOOKUP(D432, Products!$A$2:$F$61, 4, FALSE)</f>
        <v>288</v>
      </c>
    </row>
    <row r="433" spans="1:14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 t="str">
        <f>VLOOKUP(D433, Products!$A$2:$F$61, 3, FALSE)</f>
        <v>Beauty</v>
      </c>
      <c r="M433" t="str">
        <f>VLOOKUP(E429, Sales_Reps!$A$2:$E$31, 3, FALSE)</f>
        <v>South</v>
      </c>
      <c r="N433">
        <f>VLOOKUP(D433, Products!$A$2:$F$61, 4, FALSE)</f>
        <v>647</v>
      </c>
    </row>
    <row r="434" spans="1:14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 t="str">
        <f>VLOOKUP(D434, Products!$A$2:$F$61, 3, FALSE)</f>
        <v>Electronics</v>
      </c>
      <c r="M434" t="str">
        <f>VLOOKUP(E430, Sales_Reps!$A$2:$E$31, 3, FALSE)</f>
        <v>South</v>
      </c>
      <c r="N434">
        <f>VLOOKUP(D434, Products!$A$2:$F$61, 4, FALSE)</f>
        <v>1052</v>
      </c>
    </row>
    <row r="435" spans="1:14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 t="str">
        <f>VLOOKUP(D435, Products!$A$2:$F$61, 3, FALSE)</f>
        <v>Apparel</v>
      </c>
      <c r="M435" t="str">
        <f>VLOOKUP(E431, Sales_Reps!$A$2:$E$31, 3, FALSE)</f>
        <v>South</v>
      </c>
      <c r="N435">
        <f>VLOOKUP(D435, Products!$A$2:$F$61, 4, FALSE)</f>
        <v>1075</v>
      </c>
    </row>
    <row r="436" spans="1:14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 t="str">
        <f>VLOOKUP(D436, Products!$A$2:$F$61, 3, FALSE)</f>
        <v>Electronics</v>
      </c>
      <c r="M436" t="str">
        <f>VLOOKUP(E432, Sales_Reps!$A$2:$E$31, 3, FALSE)</f>
        <v>North</v>
      </c>
      <c r="N436">
        <f>VLOOKUP(D436, Products!$A$2:$F$61, 4, FALSE)</f>
        <v>2405</v>
      </c>
    </row>
    <row r="437" spans="1:14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 t="str">
        <f>VLOOKUP(D437, Products!$A$2:$F$61, 3, FALSE)</f>
        <v>Home</v>
      </c>
      <c r="M437" t="str">
        <f>VLOOKUP(E433, Sales_Reps!$A$2:$E$31, 3, FALSE)</f>
        <v>South</v>
      </c>
      <c r="N437">
        <f>VLOOKUP(D437, Products!$A$2:$F$61, 4, FALSE)</f>
        <v>2459</v>
      </c>
    </row>
    <row r="438" spans="1:14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 t="str">
        <f>VLOOKUP(D438, Products!$A$2:$F$61, 3, FALSE)</f>
        <v>Grocery</v>
      </c>
      <c r="M438" t="str">
        <f>VLOOKUP(E434, Sales_Reps!$A$2:$E$31, 3, FALSE)</f>
        <v>West</v>
      </c>
      <c r="N438">
        <f>VLOOKUP(D438, Products!$A$2:$F$61, 4, FALSE)</f>
        <v>2027</v>
      </c>
    </row>
    <row r="439" spans="1:14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 t="str">
        <f>VLOOKUP(D439, Products!$A$2:$F$61, 3, FALSE)</f>
        <v>Apparel</v>
      </c>
      <c r="M439" t="str">
        <f>VLOOKUP(E435, Sales_Reps!$A$2:$E$31, 3, FALSE)</f>
        <v>South</v>
      </c>
      <c r="N439">
        <f>VLOOKUP(D439, Products!$A$2:$F$61, 4, FALSE)</f>
        <v>396</v>
      </c>
    </row>
    <row r="440" spans="1:14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 t="str">
        <f>VLOOKUP(D440, Products!$A$2:$F$61, 3, FALSE)</f>
        <v>Electronics</v>
      </c>
      <c r="M440" t="str">
        <f>VLOOKUP(E436, Sales_Reps!$A$2:$E$31, 3, FALSE)</f>
        <v>North</v>
      </c>
      <c r="N440">
        <f>VLOOKUP(D440, Products!$A$2:$F$61, 4, FALSE)</f>
        <v>1149</v>
      </c>
    </row>
    <row r="441" spans="1:14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 t="str">
        <f>VLOOKUP(D441, Products!$A$2:$F$61, 3, FALSE)</f>
        <v>Grocery</v>
      </c>
      <c r="M441" t="str">
        <f>VLOOKUP(E437, Sales_Reps!$A$2:$E$31, 3, FALSE)</f>
        <v>South</v>
      </c>
      <c r="N441">
        <f>VLOOKUP(D441, Products!$A$2:$F$61, 4, FALSE)</f>
        <v>2027</v>
      </c>
    </row>
    <row r="442" spans="1:14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 t="str">
        <f>VLOOKUP(D442, Products!$A$2:$F$61, 3, FALSE)</f>
        <v>Sports</v>
      </c>
      <c r="M442" t="str">
        <f>VLOOKUP(E438, Sales_Reps!$A$2:$E$31, 3, FALSE)</f>
        <v>West</v>
      </c>
      <c r="N442">
        <f>VLOOKUP(D442, Products!$A$2:$F$61, 4, FALSE)</f>
        <v>516</v>
      </c>
    </row>
    <row r="443" spans="1:14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 t="str">
        <f>VLOOKUP(D443, Products!$A$2:$F$61, 3, FALSE)</f>
        <v>Home</v>
      </c>
      <c r="M443" t="str">
        <f>VLOOKUP(E439, Sales_Reps!$A$2:$E$31, 3, FALSE)</f>
        <v>South</v>
      </c>
      <c r="N443">
        <f>VLOOKUP(D443, Products!$A$2:$F$61, 4, FALSE)</f>
        <v>1556</v>
      </c>
    </row>
    <row r="444" spans="1:14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 t="str">
        <f>VLOOKUP(D444, Products!$A$2:$F$61, 3, FALSE)</f>
        <v>Electronics</v>
      </c>
      <c r="M444" t="str">
        <f>VLOOKUP(E440, Sales_Reps!$A$2:$E$31, 3, FALSE)</f>
        <v>East</v>
      </c>
      <c r="N444">
        <f>VLOOKUP(D444, Products!$A$2:$F$61, 4, FALSE)</f>
        <v>861</v>
      </c>
    </row>
    <row r="445" spans="1:14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 t="str">
        <f>VLOOKUP(D445, Products!$A$2:$F$61, 3, FALSE)</f>
        <v>Beauty</v>
      </c>
      <c r="M445" t="str">
        <f>VLOOKUP(E441, Sales_Reps!$A$2:$E$31, 3, FALSE)</f>
        <v>West</v>
      </c>
      <c r="N445">
        <f>VLOOKUP(D445, Products!$A$2:$F$61, 4, FALSE)</f>
        <v>1626</v>
      </c>
    </row>
    <row r="446" spans="1:14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 t="str">
        <f>VLOOKUP(D446, Products!$A$2:$F$61, 3, FALSE)</f>
        <v>Electronics</v>
      </c>
      <c r="M446" t="str">
        <f>VLOOKUP(E442, Sales_Reps!$A$2:$E$31, 3, FALSE)</f>
        <v>North</v>
      </c>
      <c r="N446">
        <f>VLOOKUP(D446, Products!$A$2:$F$61, 4, FALSE)</f>
        <v>1259</v>
      </c>
    </row>
    <row r="447" spans="1:14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 t="str">
        <f>VLOOKUP(D447, Products!$A$2:$F$61, 3, FALSE)</f>
        <v>Electronics</v>
      </c>
      <c r="M447" t="str">
        <f>VLOOKUP(E443, Sales_Reps!$A$2:$E$31, 3, FALSE)</f>
        <v>North</v>
      </c>
      <c r="N447">
        <f>VLOOKUP(D447, Products!$A$2:$F$61, 4, FALSE)</f>
        <v>1665</v>
      </c>
    </row>
    <row r="448" spans="1:14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 t="str">
        <f>VLOOKUP(D448, Products!$A$2:$F$61, 3, FALSE)</f>
        <v>Beauty</v>
      </c>
      <c r="M448" t="str">
        <f>VLOOKUP(E444, Sales_Reps!$A$2:$E$31, 3, FALSE)</f>
        <v>South</v>
      </c>
      <c r="N448">
        <f>VLOOKUP(D448, Products!$A$2:$F$61, 4, FALSE)</f>
        <v>1728</v>
      </c>
    </row>
    <row r="449" spans="1:14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 t="str">
        <f>VLOOKUP(D449, Products!$A$2:$F$61, 3, FALSE)</f>
        <v>Apparel</v>
      </c>
      <c r="M449" t="str">
        <f>VLOOKUP(E445, Sales_Reps!$A$2:$E$31, 3, FALSE)</f>
        <v>East</v>
      </c>
      <c r="N449">
        <f>VLOOKUP(D449, Products!$A$2:$F$61, 4, FALSE)</f>
        <v>1173</v>
      </c>
    </row>
    <row r="450" spans="1:14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 t="str">
        <f>VLOOKUP(D450, Products!$A$2:$F$61, 3, FALSE)</f>
        <v>Sports</v>
      </c>
      <c r="M450" t="str">
        <f>VLOOKUP(E446, Sales_Reps!$A$2:$E$31, 3, FALSE)</f>
        <v>North</v>
      </c>
      <c r="N450">
        <f>VLOOKUP(D450, Products!$A$2:$F$61, 4, FALSE)</f>
        <v>2265</v>
      </c>
    </row>
    <row r="451" spans="1:14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 t="str">
        <f>VLOOKUP(D451, Products!$A$2:$F$61, 3, FALSE)</f>
        <v>Home</v>
      </c>
      <c r="M451" t="str">
        <f>VLOOKUP(E447, Sales_Reps!$A$2:$E$31, 3, FALSE)</f>
        <v>East</v>
      </c>
      <c r="N451">
        <f>VLOOKUP(D451, Products!$A$2:$F$61, 4, FALSE)</f>
        <v>329</v>
      </c>
    </row>
    <row r="452" spans="1:14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 t="str">
        <f>VLOOKUP(D452, Products!$A$2:$F$61, 3, FALSE)</f>
        <v>Sports</v>
      </c>
      <c r="M452" t="str">
        <f>VLOOKUP(E448, Sales_Reps!$A$2:$E$31, 3, FALSE)</f>
        <v>South</v>
      </c>
      <c r="N452">
        <f>VLOOKUP(D452, Products!$A$2:$F$61, 4, FALSE)</f>
        <v>516</v>
      </c>
    </row>
    <row r="453" spans="1:14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 t="str">
        <f>VLOOKUP(D453, Products!$A$2:$F$61, 3, FALSE)</f>
        <v>Beauty</v>
      </c>
      <c r="M453" t="str">
        <f>VLOOKUP(E449, Sales_Reps!$A$2:$E$31, 3, FALSE)</f>
        <v>East</v>
      </c>
      <c r="N453">
        <f>VLOOKUP(D453, Products!$A$2:$F$61, 4, FALSE)</f>
        <v>1219</v>
      </c>
    </row>
    <row r="454" spans="1:14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 t="str">
        <f>VLOOKUP(D454, Products!$A$2:$F$61, 3, FALSE)</f>
        <v>Beauty</v>
      </c>
      <c r="M454" t="str">
        <f>VLOOKUP(E450, Sales_Reps!$A$2:$E$31, 3, FALSE)</f>
        <v>South</v>
      </c>
      <c r="N454">
        <f>VLOOKUP(D454, Products!$A$2:$F$61, 4, FALSE)</f>
        <v>2420</v>
      </c>
    </row>
    <row r="455" spans="1:14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 t="str">
        <f>VLOOKUP(D455, Products!$A$2:$F$61, 3, FALSE)</f>
        <v>Apparel</v>
      </c>
      <c r="M455" t="str">
        <f>VLOOKUP(E451, Sales_Reps!$A$2:$E$31, 3, FALSE)</f>
        <v>East</v>
      </c>
      <c r="N455">
        <f>VLOOKUP(D455, Products!$A$2:$F$61, 4, FALSE)</f>
        <v>2611</v>
      </c>
    </row>
    <row r="456" spans="1:14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 t="str">
        <f>VLOOKUP(D456, Products!$A$2:$F$61, 3, FALSE)</f>
        <v>Grocery</v>
      </c>
      <c r="M456" t="str">
        <f>VLOOKUP(E452, Sales_Reps!$A$2:$E$31, 3, FALSE)</f>
        <v>North</v>
      </c>
      <c r="N456">
        <f>VLOOKUP(D456, Products!$A$2:$F$61, 4, FALSE)</f>
        <v>1182</v>
      </c>
    </row>
    <row r="457" spans="1:14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 t="str">
        <f>VLOOKUP(D457, Products!$A$2:$F$61, 3, FALSE)</f>
        <v>Sports</v>
      </c>
      <c r="M457" t="str">
        <f>VLOOKUP(E453, Sales_Reps!$A$2:$E$31, 3, FALSE)</f>
        <v>North</v>
      </c>
      <c r="N457">
        <f>VLOOKUP(D457, Products!$A$2:$F$61, 4, FALSE)</f>
        <v>2265</v>
      </c>
    </row>
    <row r="458" spans="1:14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 t="str">
        <f>VLOOKUP(D458, Products!$A$2:$F$61, 3, FALSE)</f>
        <v>Beauty</v>
      </c>
      <c r="M458" t="str">
        <f>VLOOKUP(E454, Sales_Reps!$A$2:$E$31, 3, FALSE)</f>
        <v>North</v>
      </c>
      <c r="N458">
        <f>VLOOKUP(D458, Products!$A$2:$F$61, 4, FALSE)</f>
        <v>1222</v>
      </c>
    </row>
    <row r="459" spans="1:14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 t="str">
        <f>VLOOKUP(D459, Products!$A$2:$F$61, 3, FALSE)</f>
        <v>Electronics</v>
      </c>
      <c r="M459" t="str">
        <f>VLOOKUP(E455, Sales_Reps!$A$2:$E$31, 3, FALSE)</f>
        <v>North</v>
      </c>
      <c r="N459">
        <f>VLOOKUP(D459, Products!$A$2:$F$61, 4, FALSE)</f>
        <v>1052</v>
      </c>
    </row>
    <row r="460" spans="1:14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 t="str">
        <f>VLOOKUP(D460, Products!$A$2:$F$61, 3, FALSE)</f>
        <v>Home</v>
      </c>
      <c r="M460" t="str">
        <f>VLOOKUP(E456, Sales_Reps!$A$2:$E$31, 3, FALSE)</f>
        <v>South</v>
      </c>
      <c r="N460">
        <f>VLOOKUP(D460, Products!$A$2:$F$61, 4, FALSE)</f>
        <v>1850</v>
      </c>
    </row>
    <row r="461" spans="1:14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 t="str">
        <f>VLOOKUP(D461, Products!$A$2:$F$61, 3, FALSE)</f>
        <v>Home</v>
      </c>
      <c r="M461" t="str">
        <f>VLOOKUP(E457, Sales_Reps!$A$2:$E$31, 3, FALSE)</f>
        <v>East</v>
      </c>
      <c r="N461">
        <f>VLOOKUP(D461, Products!$A$2:$F$61, 4, FALSE)</f>
        <v>1850</v>
      </c>
    </row>
    <row r="462" spans="1:14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 t="str">
        <f>VLOOKUP(D462, Products!$A$2:$F$61, 3, FALSE)</f>
        <v>Electronics</v>
      </c>
      <c r="M462" t="str">
        <f>VLOOKUP(E458, Sales_Reps!$A$2:$E$31, 3, FALSE)</f>
        <v>East</v>
      </c>
      <c r="N462">
        <f>VLOOKUP(D462, Products!$A$2:$F$61, 4, FALSE)</f>
        <v>128</v>
      </c>
    </row>
    <row r="463" spans="1:14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 t="str">
        <f>VLOOKUP(D463, Products!$A$2:$F$61, 3, FALSE)</f>
        <v>Apparel</v>
      </c>
      <c r="M463" t="str">
        <f>VLOOKUP(E459, Sales_Reps!$A$2:$E$31, 3, FALSE)</f>
        <v>East</v>
      </c>
      <c r="N463">
        <f>VLOOKUP(D463, Products!$A$2:$F$61, 4, FALSE)</f>
        <v>1748</v>
      </c>
    </row>
    <row r="464" spans="1:14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 t="str">
        <f>VLOOKUP(D464, Products!$A$2:$F$61, 3, FALSE)</f>
        <v>Apparel</v>
      </c>
      <c r="M464" t="str">
        <f>VLOOKUP(E460, Sales_Reps!$A$2:$E$31, 3, FALSE)</f>
        <v>North</v>
      </c>
      <c r="N464">
        <f>VLOOKUP(D464, Products!$A$2:$F$61, 4, FALSE)</f>
        <v>1962</v>
      </c>
    </row>
    <row r="465" spans="1:14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 t="str">
        <f>VLOOKUP(D465, Products!$A$2:$F$61, 3, FALSE)</f>
        <v>Electronics</v>
      </c>
      <c r="M465" t="str">
        <f>VLOOKUP(E461, Sales_Reps!$A$2:$E$31, 3, FALSE)</f>
        <v>East</v>
      </c>
      <c r="N465">
        <f>VLOOKUP(D465, Products!$A$2:$F$61, 4, FALSE)</f>
        <v>1259</v>
      </c>
    </row>
    <row r="466" spans="1:14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 t="str">
        <f>VLOOKUP(D466, Products!$A$2:$F$61, 3, FALSE)</f>
        <v>Sports</v>
      </c>
      <c r="M466" t="str">
        <f>VLOOKUP(E462, Sales_Reps!$A$2:$E$31, 3, FALSE)</f>
        <v>South</v>
      </c>
      <c r="N466">
        <f>VLOOKUP(D466, Products!$A$2:$F$61, 4, FALSE)</f>
        <v>2467</v>
      </c>
    </row>
    <row r="467" spans="1:14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 t="str">
        <f>VLOOKUP(D467, Products!$A$2:$F$61, 3, FALSE)</f>
        <v>Sports</v>
      </c>
      <c r="M467" t="str">
        <f>VLOOKUP(E463, Sales_Reps!$A$2:$E$31, 3, FALSE)</f>
        <v>East</v>
      </c>
      <c r="N467">
        <f>VLOOKUP(D467, Products!$A$2:$F$61, 4, FALSE)</f>
        <v>2265</v>
      </c>
    </row>
    <row r="468" spans="1:14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 t="str">
        <f>VLOOKUP(D468, Products!$A$2:$F$61, 3, FALSE)</f>
        <v>Electronics</v>
      </c>
      <c r="M468" t="str">
        <f>VLOOKUP(E464, Sales_Reps!$A$2:$E$31, 3, FALSE)</f>
        <v>West</v>
      </c>
      <c r="N468">
        <f>VLOOKUP(D468, Products!$A$2:$F$61, 4, FALSE)</f>
        <v>1559</v>
      </c>
    </row>
    <row r="469" spans="1:14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 t="str">
        <f>VLOOKUP(D469, Products!$A$2:$F$61, 3, FALSE)</f>
        <v>Grocery</v>
      </c>
      <c r="M469" t="str">
        <f>VLOOKUP(E465, Sales_Reps!$A$2:$E$31, 3, FALSE)</f>
        <v>East</v>
      </c>
      <c r="N469">
        <f>VLOOKUP(D469, Products!$A$2:$F$61, 4, FALSE)</f>
        <v>1203</v>
      </c>
    </row>
    <row r="470" spans="1:14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 t="str">
        <f>VLOOKUP(D470, Products!$A$2:$F$61, 3, FALSE)</f>
        <v>Electronics</v>
      </c>
      <c r="M470" t="str">
        <f>VLOOKUP(E466, Sales_Reps!$A$2:$E$31, 3, FALSE)</f>
        <v>North</v>
      </c>
      <c r="N470">
        <f>VLOOKUP(D470, Products!$A$2:$F$61, 4, FALSE)</f>
        <v>2405</v>
      </c>
    </row>
    <row r="471" spans="1:14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 t="str">
        <f>VLOOKUP(D471, Products!$A$2:$F$61, 3, FALSE)</f>
        <v>Beauty</v>
      </c>
      <c r="M471" t="str">
        <f>VLOOKUP(E467, Sales_Reps!$A$2:$E$31, 3, FALSE)</f>
        <v>South</v>
      </c>
      <c r="N471">
        <f>VLOOKUP(D471, Products!$A$2:$F$61, 4, FALSE)</f>
        <v>1728</v>
      </c>
    </row>
    <row r="472" spans="1:14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 t="str">
        <f>VLOOKUP(D472, Products!$A$2:$F$61, 3, FALSE)</f>
        <v>Beauty</v>
      </c>
      <c r="M472" t="str">
        <f>VLOOKUP(E468, Sales_Reps!$A$2:$E$31, 3, FALSE)</f>
        <v>South</v>
      </c>
      <c r="N472">
        <f>VLOOKUP(D472, Products!$A$2:$F$61, 4, FALSE)</f>
        <v>1626</v>
      </c>
    </row>
    <row r="473" spans="1:14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 t="str">
        <f>VLOOKUP(D473, Products!$A$2:$F$61, 3, FALSE)</f>
        <v>Apparel</v>
      </c>
      <c r="M473" t="str">
        <f>VLOOKUP(E469, Sales_Reps!$A$2:$E$31, 3, FALSE)</f>
        <v>North</v>
      </c>
      <c r="N473">
        <f>VLOOKUP(D473, Products!$A$2:$F$61, 4, FALSE)</f>
        <v>1886</v>
      </c>
    </row>
    <row r="474" spans="1:14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 t="str">
        <f>VLOOKUP(D474, Products!$A$2:$F$61, 3, FALSE)</f>
        <v>Sports</v>
      </c>
      <c r="M474" t="str">
        <f>VLOOKUP(E470, Sales_Reps!$A$2:$E$31, 3, FALSE)</f>
        <v>West</v>
      </c>
      <c r="N474">
        <f>VLOOKUP(D474, Products!$A$2:$F$61, 4, FALSE)</f>
        <v>302</v>
      </c>
    </row>
    <row r="475" spans="1:14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 t="str">
        <f>VLOOKUP(D475, Products!$A$2:$F$61, 3, FALSE)</f>
        <v>Home</v>
      </c>
      <c r="M475" t="str">
        <f>VLOOKUP(E471, Sales_Reps!$A$2:$E$31, 3, FALSE)</f>
        <v>South</v>
      </c>
      <c r="N475">
        <f>VLOOKUP(D475, Products!$A$2:$F$61, 4, FALSE)</f>
        <v>1556</v>
      </c>
    </row>
    <row r="476" spans="1:14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 t="str">
        <f>VLOOKUP(D476, Products!$A$2:$F$61, 3, FALSE)</f>
        <v>Sports</v>
      </c>
      <c r="M476" t="str">
        <f>VLOOKUP(E472, Sales_Reps!$A$2:$E$31, 3, FALSE)</f>
        <v>North</v>
      </c>
      <c r="N476">
        <f>VLOOKUP(D476, Products!$A$2:$F$61, 4, FALSE)</f>
        <v>516</v>
      </c>
    </row>
    <row r="477" spans="1:14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 t="str">
        <f>VLOOKUP(D477, Products!$A$2:$F$61, 3, FALSE)</f>
        <v>Electronics</v>
      </c>
      <c r="M477" t="str">
        <f>VLOOKUP(E473, Sales_Reps!$A$2:$E$31, 3, FALSE)</f>
        <v>East</v>
      </c>
      <c r="N477">
        <f>VLOOKUP(D477, Products!$A$2:$F$61, 4, FALSE)</f>
        <v>128</v>
      </c>
    </row>
    <row r="478" spans="1:14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 t="str">
        <f>VLOOKUP(D478, Products!$A$2:$F$61, 3, FALSE)</f>
        <v>Beauty</v>
      </c>
      <c r="M478" t="str">
        <f>VLOOKUP(E474, Sales_Reps!$A$2:$E$31, 3, FALSE)</f>
        <v>East</v>
      </c>
      <c r="N478">
        <f>VLOOKUP(D478, Products!$A$2:$F$61, 4, FALSE)</f>
        <v>2237</v>
      </c>
    </row>
    <row r="479" spans="1:14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 t="str">
        <f>VLOOKUP(D479, Products!$A$2:$F$61, 3, FALSE)</f>
        <v>Beauty</v>
      </c>
      <c r="M479" t="str">
        <f>VLOOKUP(E475, Sales_Reps!$A$2:$E$31, 3, FALSE)</f>
        <v>East</v>
      </c>
      <c r="N479">
        <f>VLOOKUP(D479, Products!$A$2:$F$61, 4, FALSE)</f>
        <v>1728</v>
      </c>
    </row>
    <row r="480" spans="1:14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 t="str">
        <f>VLOOKUP(D480, Products!$A$2:$F$61, 3, FALSE)</f>
        <v>Home</v>
      </c>
      <c r="M480" t="str">
        <f>VLOOKUP(E476, Sales_Reps!$A$2:$E$31, 3, FALSE)</f>
        <v>East</v>
      </c>
      <c r="N480">
        <f>VLOOKUP(D480, Products!$A$2:$F$61, 4, FALSE)</f>
        <v>1556</v>
      </c>
    </row>
    <row r="481" spans="1:14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 t="str">
        <f>VLOOKUP(D481, Products!$A$2:$F$61, 3, FALSE)</f>
        <v>Grocery</v>
      </c>
      <c r="M481" t="str">
        <f>VLOOKUP(E477, Sales_Reps!$A$2:$E$31, 3, FALSE)</f>
        <v>North</v>
      </c>
      <c r="N481">
        <f>VLOOKUP(D481, Products!$A$2:$F$61, 4, FALSE)</f>
        <v>2214</v>
      </c>
    </row>
    <row r="482" spans="1:14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 t="str">
        <f>VLOOKUP(D482, Products!$A$2:$F$61, 3, FALSE)</f>
        <v>Sports</v>
      </c>
      <c r="M482" t="str">
        <f>VLOOKUP(E478, Sales_Reps!$A$2:$E$31, 3, FALSE)</f>
        <v>North</v>
      </c>
      <c r="N482">
        <f>VLOOKUP(D482, Products!$A$2:$F$61, 4, FALSE)</f>
        <v>974</v>
      </c>
    </row>
    <row r="483" spans="1:14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 t="str">
        <f>VLOOKUP(D483, Products!$A$2:$F$61, 3, FALSE)</f>
        <v>Home</v>
      </c>
      <c r="M483" t="str">
        <f>VLOOKUP(E479, Sales_Reps!$A$2:$E$31, 3, FALSE)</f>
        <v>West</v>
      </c>
      <c r="N483">
        <f>VLOOKUP(D483, Products!$A$2:$F$61, 4, FALSE)</f>
        <v>464</v>
      </c>
    </row>
    <row r="484" spans="1:14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 t="str">
        <f>VLOOKUP(D484, Products!$A$2:$F$61, 3, FALSE)</f>
        <v>Sports</v>
      </c>
      <c r="M484" t="str">
        <f>VLOOKUP(E480, Sales_Reps!$A$2:$E$31, 3, FALSE)</f>
        <v>East</v>
      </c>
      <c r="N484">
        <f>VLOOKUP(D484, Products!$A$2:$F$61, 4, FALSE)</f>
        <v>1860</v>
      </c>
    </row>
    <row r="485" spans="1:14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 t="str">
        <f>VLOOKUP(D485, Products!$A$2:$F$61, 3, FALSE)</f>
        <v>Beauty</v>
      </c>
      <c r="M485" t="str">
        <f>VLOOKUP(E481, Sales_Reps!$A$2:$E$31, 3, FALSE)</f>
        <v>North</v>
      </c>
      <c r="N485">
        <f>VLOOKUP(D485, Products!$A$2:$F$61, 4, FALSE)</f>
        <v>1728</v>
      </c>
    </row>
    <row r="486" spans="1:14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 t="str">
        <f>VLOOKUP(D486, Products!$A$2:$F$61, 3, FALSE)</f>
        <v>Home</v>
      </c>
      <c r="M486" t="str">
        <f>VLOOKUP(E482, Sales_Reps!$A$2:$E$31, 3, FALSE)</f>
        <v>South</v>
      </c>
      <c r="N486">
        <f>VLOOKUP(D486, Products!$A$2:$F$61, 4, FALSE)</f>
        <v>519</v>
      </c>
    </row>
    <row r="487" spans="1:14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 t="str">
        <f>VLOOKUP(D487, Products!$A$2:$F$61, 3, FALSE)</f>
        <v>Grocery</v>
      </c>
      <c r="M487" t="str">
        <f>VLOOKUP(E483, Sales_Reps!$A$2:$E$31, 3, FALSE)</f>
        <v>South</v>
      </c>
      <c r="N487">
        <f>VLOOKUP(D487, Products!$A$2:$F$61, 4, FALSE)</f>
        <v>2027</v>
      </c>
    </row>
    <row r="488" spans="1:14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 t="str">
        <f>VLOOKUP(D488, Products!$A$2:$F$61, 3, FALSE)</f>
        <v>Beauty</v>
      </c>
      <c r="M488" t="str">
        <f>VLOOKUP(E484, Sales_Reps!$A$2:$E$31, 3, FALSE)</f>
        <v>South</v>
      </c>
      <c r="N488">
        <f>VLOOKUP(D488, Products!$A$2:$F$61, 4, FALSE)</f>
        <v>647</v>
      </c>
    </row>
    <row r="489" spans="1:14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 t="str">
        <f>VLOOKUP(D489, Products!$A$2:$F$61, 3, FALSE)</f>
        <v>Grocery</v>
      </c>
      <c r="M489" t="str">
        <f>VLOOKUP(E485, Sales_Reps!$A$2:$E$31, 3, FALSE)</f>
        <v>East</v>
      </c>
      <c r="N489">
        <f>VLOOKUP(D489, Products!$A$2:$F$61, 4, FALSE)</f>
        <v>1435</v>
      </c>
    </row>
    <row r="490" spans="1:14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 t="str">
        <f>VLOOKUP(D490, Products!$A$2:$F$61, 3, FALSE)</f>
        <v>Electronics</v>
      </c>
      <c r="M490" t="str">
        <f>VLOOKUP(E486, Sales_Reps!$A$2:$E$31, 3, FALSE)</f>
        <v>West</v>
      </c>
      <c r="N490">
        <f>VLOOKUP(D490, Products!$A$2:$F$61, 4, FALSE)</f>
        <v>2865</v>
      </c>
    </row>
    <row r="491" spans="1:14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 t="str">
        <f>VLOOKUP(D491, Products!$A$2:$F$61, 3, FALSE)</f>
        <v>Apparel</v>
      </c>
      <c r="M491" t="str">
        <f>VLOOKUP(E487, Sales_Reps!$A$2:$E$31, 3, FALSE)</f>
        <v>East</v>
      </c>
      <c r="N491">
        <f>VLOOKUP(D491, Products!$A$2:$F$61, 4, FALSE)</f>
        <v>1748</v>
      </c>
    </row>
    <row r="492" spans="1:14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 t="str">
        <f>VLOOKUP(D492, Products!$A$2:$F$61, 3, FALSE)</f>
        <v>Apparel</v>
      </c>
      <c r="M492" t="str">
        <f>VLOOKUP(E488, Sales_Reps!$A$2:$E$31, 3, FALSE)</f>
        <v>West</v>
      </c>
      <c r="N492">
        <f>VLOOKUP(D492, Products!$A$2:$F$61, 4, FALSE)</f>
        <v>2629</v>
      </c>
    </row>
    <row r="493" spans="1:14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 t="str">
        <f>VLOOKUP(D493, Products!$A$2:$F$61, 3, FALSE)</f>
        <v>Electronics</v>
      </c>
      <c r="M493" t="str">
        <f>VLOOKUP(E489, Sales_Reps!$A$2:$E$31, 3, FALSE)</f>
        <v>West</v>
      </c>
      <c r="N493">
        <f>VLOOKUP(D493, Products!$A$2:$F$61, 4, FALSE)</f>
        <v>1665</v>
      </c>
    </row>
    <row r="494" spans="1:14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 t="str">
        <f>VLOOKUP(D494, Products!$A$2:$F$61, 3, FALSE)</f>
        <v>Sports</v>
      </c>
      <c r="M494" t="str">
        <f>VLOOKUP(E490, Sales_Reps!$A$2:$E$31, 3, FALSE)</f>
        <v>East</v>
      </c>
      <c r="N494">
        <f>VLOOKUP(D494, Products!$A$2:$F$61, 4, FALSE)</f>
        <v>705</v>
      </c>
    </row>
    <row r="495" spans="1:14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 t="str">
        <f>VLOOKUP(D495, Products!$A$2:$F$61, 3, FALSE)</f>
        <v>Beauty</v>
      </c>
      <c r="M495" t="str">
        <f>VLOOKUP(E491, Sales_Reps!$A$2:$E$31, 3, FALSE)</f>
        <v>East</v>
      </c>
      <c r="N495">
        <f>VLOOKUP(D495, Products!$A$2:$F$61, 4, FALSE)</f>
        <v>2420</v>
      </c>
    </row>
    <row r="496" spans="1:14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 t="str">
        <f>VLOOKUP(D496, Products!$A$2:$F$61, 3, FALSE)</f>
        <v>Beauty</v>
      </c>
      <c r="M496" t="str">
        <f>VLOOKUP(E492, Sales_Reps!$A$2:$E$31, 3, FALSE)</f>
        <v>North</v>
      </c>
      <c r="N496">
        <f>VLOOKUP(D496, Products!$A$2:$F$61, 4, FALSE)</f>
        <v>1728</v>
      </c>
    </row>
    <row r="497" spans="1:14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 t="str">
        <f>VLOOKUP(D497, Products!$A$2:$F$61, 3, FALSE)</f>
        <v>Beauty</v>
      </c>
      <c r="M497" t="str">
        <f>VLOOKUP(E493, Sales_Reps!$A$2:$E$31, 3, FALSE)</f>
        <v>West</v>
      </c>
      <c r="N497">
        <f>VLOOKUP(D497, Products!$A$2:$F$61, 4, FALSE)</f>
        <v>675</v>
      </c>
    </row>
    <row r="498" spans="1:14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 t="str">
        <f>VLOOKUP(D498, Products!$A$2:$F$61, 3, FALSE)</f>
        <v>Electronics</v>
      </c>
      <c r="M498" t="str">
        <f>VLOOKUP(E494, Sales_Reps!$A$2:$E$31, 3, FALSE)</f>
        <v>West</v>
      </c>
      <c r="N498">
        <f>VLOOKUP(D498, Products!$A$2:$F$61, 4, FALSE)</f>
        <v>128</v>
      </c>
    </row>
    <row r="499" spans="1:14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 t="str">
        <f>VLOOKUP(D499, Products!$A$2:$F$61, 3, FALSE)</f>
        <v>Grocery</v>
      </c>
      <c r="M499" t="str">
        <f>VLOOKUP(E495, Sales_Reps!$A$2:$E$31, 3, FALSE)</f>
        <v>South</v>
      </c>
      <c r="N499">
        <f>VLOOKUP(D499, Products!$A$2:$F$61, 4, FALSE)</f>
        <v>1182</v>
      </c>
    </row>
    <row r="500" spans="1:14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 t="str">
        <f>VLOOKUP(D500, Products!$A$2:$F$61, 3, FALSE)</f>
        <v>Sports</v>
      </c>
      <c r="M500" t="str">
        <f>VLOOKUP(E496, Sales_Reps!$A$2:$E$31, 3, FALSE)</f>
        <v>South</v>
      </c>
      <c r="N500">
        <f>VLOOKUP(D500, Products!$A$2:$F$61, 4, FALSE)</f>
        <v>705</v>
      </c>
    </row>
    <row r="501" spans="1:14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 t="str">
        <f>VLOOKUP(D501, Products!$A$2:$F$61, 3, FALSE)</f>
        <v>Sports</v>
      </c>
      <c r="M501" t="str">
        <f>VLOOKUP(E497, Sales_Reps!$A$2:$E$31, 3, FALSE)</f>
        <v>North</v>
      </c>
      <c r="N501">
        <f>VLOOKUP(D501, Products!$A$2:$F$61, 4, FALSE)</f>
        <v>1860</v>
      </c>
    </row>
    <row r="502" spans="1:14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 t="str">
        <f>VLOOKUP(D502, Products!$A$2:$F$61, 3, FALSE)</f>
        <v>Beauty</v>
      </c>
      <c r="M502" t="str">
        <f>VLOOKUP(E498, Sales_Reps!$A$2:$E$31, 3, FALSE)</f>
        <v>South</v>
      </c>
      <c r="N502">
        <f>VLOOKUP(D502, Products!$A$2:$F$61, 4, FALSE)</f>
        <v>647</v>
      </c>
    </row>
    <row r="503" spans="1:14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 t="str">
        <f>VLOOKUP(D503, Products!$A$2:$F$61, 3, FALSE)</f>
        <v>Apparel</v>
      </c>
      <c r="M503" t="str">
        <f>VLOOKUP(E499, Sales_Reps!$A$2:$E$31, 3, FALSE)</f>
        <v>East</v>
      </c>
      <c r="N503">
        <f>VLOOKUP(D503, Products!$A$2:$F$61, 4, FALSE)</f>
        <v>1075</v>
      </c>
    </row>
    <row r="504" spans="1:14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 t="str">
        <f>VLOOKUP(D504, Products!$A$2:$F$61, 3, FALSE)</f>
        <v>Grocery</v>
      </c>
      <c r="M504" t="str">
        <f>VLOOKUP(E500, Sales_Reps!$A$2:$E$31, 3, FALSE)</f>
        <v>West</v>
      </c>
      <c r="N504">
        <f>VLOOKUP(D504, Products!$A$2:$F$61, 4, FALSE)</f>
        <v>2911</v>
      </c>
    </row>
    <row r="505" spans="1:14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 t="str">
        <f>VLOOKUP(D505, Products!$A$2:$F$61, 3, FALSE)</f>
        <v>Sports</v>
      </c>
      <c r="M505" t="str">
        <f>VLOOKUP(E501, Sales_Reps!$A$2:$E$31, 3, FALSE)</f>
        <v>South</v>
      </c>
      <c r="N505">
        <f>VLOOKUP(D505, Products!$A$2:$F$61, 4, FALSE)</f>
        <v>974</v>
      </c>
    </row>
    <row r="506" spans="1:14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 t="str">
        <f>VLOOKUP(D506, Products!$A$2:$F$61, 3, FALSE)</f>
        <v>Beauty</v>
      </c>
      <c r="M506" t="str">
        <f>VLOOKUP(E502, Sales_Reps!$A$2:$E$31, 3, FALSE)</f>
        <v>East</v>
      </c>
      <c r="N506">
        <f>VLOOKUP(D506, Products!$A$2:$F$61, 4, FALSE)</f>
        <v>2768</v>
      </c>
    </row>
    <row r="507" spans="1:14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 t="str">
        <f>VLOOKUP(D507, Products!$A$2:$F$61, 3, FALSE)</f>
        <v>Beauty</v>
      </c>
      <c r="M507" t="str">
        <f>VLOOKUP(E503, Sales_Reps!$A$2:$E$31, 3, FALSE)</f>
        <v>North</v>
      </c>
      <c r="N507">
        <f>VLOOKUP(D507, Products!$A$2:$F$61, 4, FALSE)</f>
        <v>2237</v>
      </c>
    </row>
    <row r="508" spans="1:14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 t="str">
        <f>VLOOKUP(D508, Products!$A$2:$F$61, 3, FALSE)</f>
        <v>Electronics</v>
      </c>
      <c r="M508" t="str">
        <f>VLOOKUP(E504, Sales_Reps!$A$2:$E$31, 3, FALSE)</f>
        <v>South</v>
      </c>
      <c r="N508">
        <f>VLOOKUP(D508, Products!$A$2:$F$61, 4, FALSE)</f>
        <v>128</v>
      </c>
    </row>
    <row r="509" spans="1:14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 t="str">
        <f>VLOOKUP(D509, Products!$A$2:$F$61, 3, FALSE)</f>
        <v>Apparel</v>
      </c>
      <c r="M509" t="str">
        <f>VLOOKUP(E505, Sales_Reps!$A$2:$E$31, 3, FALSE)</f>
        <v>West</v>
      </c>
      <c r="N509">
        <f>VLOOKUP(D509, Products!$A$2:$F$61, 4, FALSE)</f>
        <v>1173</v>
      </c>
    </row>
    <row r="510" spans="1:14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 t="str">
        <f>VLOOKUP(D510, Products!$A$2:$F$61, 3, FALSE)</f>
        <v>Beauty</v>
      </c>
      <c r="M510" t="str">
        <f>VLOOKUP(E506, Sales_Reps!$A$2:$E$31, 3, FALSE)</f>
        <v>East</v>
      </c>
      <c r="N510">
        <f>VLOOKUP(D510, Products!$A$2:$F$61, 4, FALSE)</f>
        <v>1222</v>
      </c>
    </row>
    <row r="511" spans="1:14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 t="str">
        <f>VLOOKUP(D511, Products!$A$2:$F$61, 3, FALSE)</f>
        <v>Grocery</v>
      </c>
      <c r="M511" t="str">
        <f>VLOOKUP(E507, Sales_Reps!$A$2:$E$31, 3, FALSE)</f>
        <v>East</v>
      </c>
      <c r="N511">
        <f>VLOOKUP(D511, Products!$A$2:$F$61, 4, FALSE)</f>
        <v>1010</v>
      </c>
    </row>
    <row r="512" spans="1:14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 t="str">
        <f>VLOOKUP(D512, Products!$A$2:$F$61, 3, FALSE)</f>
        <v>Apparel</v>
      </c>
      <c r="M512" t="str">
        <f>VLOOKUP(E508, Sales_Reps!$A$2:$E$31, 3, FALSE)</f>
        <v>West</v>
      </c>
      <c r="N512">
        <f>VLOOKUP(D512, Products!$A$2:$F$61, 4, FALSE)</f>
        <v>1173</v>
      </c>
    </row>
    <row r="513" spans="1:14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 t="str">
        <f>VLOOKUP(D513, Products!$A$2:$F$61, 3, FALSE)</f>
        <v>Electronics</v>
      </c>
      <c r="M513" t="str">
        <f>VLOOKUP(E509, Sales_Reps!$A$2:$E$31, 3, FALSE)</f>
        <v>South</v>
      </c>
      <c r="N513">
        <f>VLOOKUP(D513, Products!$A$2:$F$61, 4, FALSE)</f>
        <v>2405</v>
      </c>
    </row>
    <row r="514" spans="1:14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 t="str">
        <f>VLOOKUP(D514, Products!$A$2:$F$61, 3, FALSE)</f>
        <v>Grocery</v>
      </c>
      <c r="M514" t="str">
        <f>VLOOKUP(E510, Sales_Reps!$A$2:$E$31, 3, FALSE)</f>
        <v>East</v>
      </c>
      <c r="N514">
        <f>VLOOKUP(D514, Products!$A$2:$F$61, 4, FALSE)</f>
        <v>2027</v>
      </c>
    </row>
    <row r="515" spans="1:14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 t="str">
        <f>VLOOKUP(D515, Products!$A$2:$F$61, 3, FALSE)</f>
        <v>Apparel</v>
      </c>
      <c r="M515" t="str">
        <f>VLOOKUP(E511, Sales_Reps!$A$2:$E$31, 3, FALSE)</f>
        <v>South</v>
      </c>
      <c r="N515">
        <f>VLOOKUP(D515, Products!$A$2:$F$61, 4, FALSE)</f>
        <v>1962</v>
      </c>
    </row>
    <row r="516" spans="1:14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 t="str">
        <f>VLOOKUP(D516, Products!$A$2:$F$61, 3, FALSE)</f>
        <v>Sports</v>
      </c>
      <c r="M516" t="str">
        <f>VLOOKUP(E512, Sales_Reps!$A$2:$E$31, 3, FALSE)</f>
        <v>North</v>
      </c>
      <c r="N516">
        <f>VLOOKUP(D516, Products!$A$2:$F$61, 4, FALSE)</f>
        <v>2028</v>
      </c>
    </row>
    <row r="517" spans="1:14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 t="str">
        <f>VLOOKUP(D517, Products!$A$2:$F$61, 3, FALSE)</f>
        <v>Apparel</v>
      </c>
      <c r="M517" t="str">
        <f>VLOOKUP(E513, Sales_Reps!$A$2:$E$31, 3, FALSE)</f>
        <v>East</v>
      </c>
      <c r="N517">
        <f>VLOOKUP(D517, Products!$A$2:$F$61, 4, FALSE)</f>
        <v>2509</v>
      </c>
    </row>
    <row r="518" spans="1:14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 t="str">
        <f>VLOOKUP(D518, Products!$A$2:$F$61, 3, FALSE)</f>
        <v>Beauty</v>
      </c>
      <c r="M518" t="str">
        <f>VLOOKUP(E514, Sales_Reps!$A$2:$E$31, 3, FALSE)</f>
        <v>South</v>
      </c>
      <c r="N518">
        <f>VLOOKUP(D518, Products!$A$2:$F$61, 4, FALSE)</f>
        <v>1222</v>
      </c>
    </row>
    <row r="519" spans="1:14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 t="str">
        <f>VLOOKUP(D519, Products!$A$2:$F$61, 3, FALSE)</f>
        <v>Sports</v>
      </c>
      <c r="M519" t="str">
        <f>VLOOKUP(E515, Sales_Reps!$A$2:$E$31, 3, FALSE)</f>
        <v>North</v>
      </c>
      <c r="N519">
        <f>VLOOKUP(D519, Products!$A$2:$F$61, 4, FALSE)</f>
        <v>147</v>
      </c>
    </row>
    <row r="520" spans="1:14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 t="str">
        <f>VLOOKUP(D520, Products!$A$2:$F$61, 3, FALSE)</f>
        <v>Beauty</v>
      </c>
      <c r="M520" t="str">
        <f>VLOOKUP(E516, Sales_Reps!$A$2:$E$31, 3, FALSE)</f>
        <v>West</v>
      </c>
      <c r="N520">
        <f>VLOOKUP(D520, Products!$A$2:$F$61, 4, FALSE)</f>
        <v>1219</v>
      </c>
    </row>
    <row r="521" spans="1:14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 t="str">
        <f>VLOOKUP(D521, Products!$A$2:$F$61, 3, FALSE)</f>
        <v>Electronics</v>
      </c>
      <c r="M521" t="str">
        <f>VLOOKUP(E517, Sales_Reps!$A$2:$E$31, 3, FALSE)</f>
        <v>South</v>
      </c>
      <c r="N521">
        <f>VLOOKUP(D521, Products!$A$2:$F$61, 4, FALSE)</f>
        <v>2405</v>
      </c>
    </row>
    <row r="522" spans="1:14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 t="str">
        <f>VLOOKUP(D522, Products!$A$2:$F$61, 3, FALSE)</f>
        <v>Electronics</v>
      </c>
      <c r="M522" t="str">
        <f>VLOOKUP(E518, Sales_Reps!$A$2:$E$31, 3, FALSE)</f>
        <v>East</v>
      </c>
      <c r="N522">
        <f>VLOOKUP(D522, Products!$A$2:$F$61, 4, FALSE)</f>
        <v>2405</v>
      </c>
    </row>
    <row r="523" spans="1:14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 t="str">
        <f>VLOOKUP(D523, Products!$A$2:$F$61, 3, FALSE)</f>
        <v>Home</v>
      </c>
      <c r="M523" t="str">
        <f>VLOOKUP(E519, Sales_Reps!$A$2:$E$31, 3, FALSE)</f>
        <v>West</v>
      </c>
      <c r="N523">
        <f>VLOOKUP(D523, Products!$A$2:$F$61, 4, FALSE)</f>
        <v>2459</v>
      </c>
    </row>
    <row r="524" spans="1:14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 t="str">
        <f>VLOOKUP(D524, Products!$A$2:$F$61, 3, FALSE)</f>
        <v>Home</v>
      </c>
      <c r="M524" t="str">
        <f>VLOOKUP(E520, Sales_Reps!$A$2:$E$31, 3, FALSE)</f>
        <v>West</v>
      </c>
      <c r="N524">
        <f>VLOOKUP(D524, Products!$A$2:$F$61, 4, FALSE)</f>
        <v>288</v>
      </c>
    </row>
    <row r="525" spans="1:14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 t="str">
        <f>VLOOKUP(D525, Products!$A$2:$F$61, 3, FALSE)</f>
        <v>Sports</v>
      </c>
      <c r="M525" t="str">
        <f>VLOOKUP(E521, Sales_Reps!$A$2:$E$31, 3, FALSE)</f>
        <v>East</v>
      </c>
      <c r="N525">
        <f>VLOOKUP(D525, Products!$A$2:$F$61, 4, FALSE)</f>
        <v>302</v>
      </c>
    </row>
    <row r="526" spans="1:14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 t="str">
        <f>VLOOKUP(D526, Products!$A$2:$F$61, 3, FALSE)</f>
        <v>Sports</v>
      </c>
      <c r="M526" t="str">
        <f>VLOOKUP(E522, Sales_Reps!$A$2:$E$31, 3, FALSE)</f>
        <v>South</v>
      </c>
      <c r="N526">
        <f>VLOOKUP(D526, Products!$A$2:$F$61, 4, FALSE)</f>
        <v>2265</v>
      </c>
    </row>
    <row r="527" spans="1:14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 t="str">
        <f>VLOOKUP(D527, Products!$A$2:$F$61, 3, FALSE)</f>
        <v>Apparel</v>
      </c>
      <c r="M527" t="str">
        <f>VLOOKUP(E523, Sales_Reps!$A$2:$E$31, 3, FALSE)</f>
        <v>North</v>
      </c>
      <c r="N527">
        <f>VLOOKUP(D527, Products!$A$2:$F$61, 4, FALSE)</f>
        <v>2509</v>
      </c>
    </row>
    <row r="528" spans="1:14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 t="str">
        <f>VLOOKUP(D528, Products!$A$2:$F$61, 3, FALSE)</f>
        <v>Grocery</v>
      </c>
      <c r="M528" t="str">
        <f>VLOOKUP(E524, Sales_Reps!$A$2:$E$31, 3, FALSE)</f>
        <v>North</v>
      </c>
      <c r="N528">
        <f>VLOOKUP(D528, Products!$A$2:$F$61, 4, FALSE)</f>
        <v>1435</v>
      </c>
    </row>
    <row r="529" spans="1:14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 t="str">
        <f>VLOOKUP(D529, Products!$A$2:$F$61, 3, FALSE)</f>
        <v>Beauty</v>
      </c>
      <c r="M529" t="str">
        <f>VLOOKUP(E525, Sales_Reps!$A$2:$E$31, 3, FALSE)</f>
        <v>South</v>
      </c>
      <c r="N529">
        <f>VLOOKUP(D529, Products!$A$2:$F$61, 4, FALSE)</f>
        <v>2420</v>
      </c>
    </row>
    <row r="530" spans="1:14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 t="str">
        <f>VLOOKUP(D530, Products!$A$2:$F$61, 3, FALSE)</f>
        <v>Grocery</v>
      </c>
      <c r="M530" t="str">
        <f>VLOOKUP(E526, Sales_Reps!$A$2:$E$31, 3, FALSE)</f>
        <v>West</v>
      </c>
      <c r="N530">
        <f>VLOOKUP(D530, Products!$A$2:$F$61, 4, FALSE)</f>
        <v>2214</v>
      </c>
    </row>
    <row r="531" spans="1:14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 t="str">
        <f>VLOOKUP(D531, Products!$A$2:$F$61, 3, FALSE)</f>
        <v>Electronics</v>
      </c>
      <c r="M531" t="str">
        <f>VLOOKUP(E527, Sales_Reps!$A$2:$E$31, 3, FALSE)</f>
        <v>North</v>
      </c>
      <c r="N531">
        <f>VLOOKUP(D531, Products!$A$2:$F$61, 4, FALSE)</f>
        <v>1665</v>
      </c>
    </row>
    <row r="532" spans="1:14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 t="str">
        <f>VLOOKUP(D532, Products!$A$2:$F$61, 3, FALSE)</f>
        <v>Home</v>
      </c>
      <c r="M532" t="str">
        <f>VLOOKUP(E528, Sales_Reps!$A$2:$E$31, 3, FALSE)</f>
        <v>West</v>
      </c>
      <c r="N532">
        <f>VLOOKUP(D532, Products!$A$2:$F$61, 4, FALSE)</f>
        <v>464</v>
      </c>
    </row>
    <row r="533" spans="1:14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 t="str">
        <f>VLOOKUP(D533, Products!$A$2:$F$61, 3, FALSE)</f>
        <v>Apparel</v>
      </c>
      <c r="M533" t="str">
        <f>VLOOKUP(E529, Sales_Reps!$A$2:$E$31, 3, FALSE)</f>
        <v>North</v>
      </c>
      <c r="N533">
        <f>VLOOKUP(D533, Products!$A$2:$F$61, 4, FALSE)</f>
        <v>2509</v>
      </c>
    </row>
    <row r="534" spans="1:14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 t="str">
        <f>VLOOKUP(D534, Products!$A$2:$F$61, 3, FALSE)</f>
        <v>Beauty</v>
      </c>
      <c r="M534" t="str">
        <f>VLOOKUP(E530, Sales_Reps!$A$2:$E$31, 3, FALSE)</f>
        <v>West</v>
      </c>
      <c r="N534">
        <f>VLOOKUP(D534, Products!$A$2:$F$61, 4, FALSE)</f>
        <v>2768</v>
      </c>
    </row>
    <row r="535" spans="1:14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 t="str">
        <f>VLOOKUP(D535, Products!$A$2:$F$61, 3, FALSE)</f>
        <v>Sports</v>
      </c>
      <c r="M535" t="str">
        <f>VLOOKUP(E531, Sales_Reps!$A$2:$E$31, 3, FALSE)</f>
        <v>West</v>
      </c>
      <c r="N535">
        <f>VLOOKUP(D535, Products!$A$2:$F$61, 4, FALSE)</f>
        <v>302</v>
      </c>
    </row>
    <row r="536" spans="1:14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 t="str">
        <f>VLOOKUP(D536, Products!$A$2:$F$61, 3, FALSE)</f>
        <v>Beauty</v>
      </c>
      <c r="M536" t="str">
        <f>VLOOKUP(E532, Sales_Reps!$A$2:$E$31, 3, FALSE)</f>
        <v>South</v>
      </c>
      <c r="N536">
        <f>VLOOKUP(D536, Products!$A$2:$F$61, 4, FALSE)</f>
        <v>1219</v>
      </c>
    </row>
    <row r="537" spans="1:14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 t="str">
        <f>VLOOKUP(D537, Products!$A$2:$F$61, 3, FALSE)</f>
        <v>Grocery</v>
      </c>
      <c r="M537" t="str">
        <f>VLOOKUP(E533, Sales_Reps!$A$2:$E$31, 3, FALSE)</f>
        <v>East</v>
      </c>
      <c r="N537">
        <f>VLOOKUP(D537, Products!$A$2:$F$61, 4, FALSE)</f>
        <v>1182</v>
      </c>
    </row>
    <row r="538" spans="1:14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 t="str">
        <f>VLOOKUP(D538, Products!$A$2:$F$61, 3, FALSE)</f>
        <v>Grocery</v>
      </c>
      <c r="M538" t="str">
        <f>VLOOKUP(E534, Sales_Reps!$A$2:$E$31, 3, FALSE)</f>
        <v>South</v>
      </c>
      <c r="N538">
        <f>VLOOKUP(D538, Products!$A$2:$F$61, 4, FALSE)</f>
        <v>1182</v>
      </c>
    </row>
    <row r="539" spans="1:14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 t="str">
        <f>VLOOKUP(D539, Products!$A$2:$F$61, 3, FALSE)</f>
        <v>Sports</v>
      </c>
      <c r="M539" t="str">
        <f>VLOOKUP(E535, Sales_Reps!$A$2:$E$31, 3, FALSE)</f>
        <v>West</v>
      </c>
      <c r="N539">
        <f>VLOOKUP(D539, Products!$A$2:$F$61, 4, FALSE)</f>
        <v>2265</v>
      </c>
    </row>
    <row r="540" spans="1:14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 t="str">
        <f>VLOOKUP(D540, Products!$A$2:$F$61, 3, FALSE)</f>
        <v>Electronics</v>
      </c>
      <c r="M540" t="str">
        <f>VLOOKUP(E536, Sales_Reps!$A$2:$E$31, 3, FALSE)</f>
        <v>East</v>
      </c>
      <c r="N540">
        <f>VLOOKUP(D540, Products!$A$2:$F$61, 4, FALSE)</f>
        <v>861</v>
      </c>
    </row>
    <row r="541" spans="1:14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 t="str">
        <f>VLOOKUP(D541, Products!$A$2:$F$61, 3, FALSE)</f>
        <v>Sports</v>
      </c>
      <c r="M541" t="str">
        <f>VLOOKUP(E537, Sales_Reps!$A$2:$E$31, 3, FALSE)</f>
        <v>South</v>
      </c>
      <c r="N541">
        <f>VLOOKUP(D541, Products!$A$2:$F$61, 4, FALSE)</f>
        <v>974</v>
      </c>
    </row>
    <row r="542" spans="1:14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 t="str">
        <f>VLOOKUP(D542, Products!$A$2:$F$61, 3, FALSE)</f>
        <v>Grocery</v>
      </c>
      <c r="M542" t="str">
        <f>VLOOKUP(E538, Sales_Reps!$A$2:$E$31, 3, FALSE)</f>
        <v>North</v>
      </c>
      <c r="N542">
        <f>VLOOKUP(D542, Products!$A$2:$F$61, 4, FALSE)</f>
        <v>2436</v>
      </c>
    </row>
    <row r="543" spans="1:14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 t="str">
        <f>VLOOKUP(D543, Products!$A$2:$F$61, 3, FALSE)</f>
        <v>Apparel</v>
      </c>
      <c r="M543" t="str">
        <f>VLOOKUP(E539, Sales_Reps!$A$2:$E$31, 3, FALSE)</f>
        <v>South</v>
      </c>
      <c r="N543">
        <f>VLOOKUP(D543, Products!$A$2:$F$61, 4, FALSE)</f>
        <v>396</v>
      </c>
    </row>
    <row r="544" spans="1:14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 t="str">
        <f>VLOOKUP(D544, Products!$A$2:$F$61, 3, FALSE)</f>
        <v>Sports</v>
      </c>
      <c r="M544" t="str">
        <f>VLOOKUP(E540, Sales_Reps!$A$2:$E$31, 3, FALSE)</f>
        <v>North</v>
      </c>
      <c r="N544">
        <f>VLOOKUP(D544, Products!$A$2:$F$61, 4, FALSE)</f>
        <v>147</v>
      </c>
    </row>
    <row r="545" spans="1:14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 t="str">
        <f>VLOOKUP(D545, Products!$A$2:$F$61, 3, FALSE)</f>
        <v>Apparel</v>
      </c>
      <c r="M545" t="str">
        <f>VLOOKUP(E541, Sales_Reps!$A$2:$E$31, 3, FALSE)</f>
        <v>West</v>
      </c>
      <c r="N545">
        <f>VLOOKUP(D545, Products!$A$2:$F$61, 4, FALSE)</f>
        <v>2509</v>
      </c>
    </row>
    <row r="546" spans="1:14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 t="str">
        <f>VLOOKUP(D546, Products!$A$2:$F$61, 3, FALSE)</f>
        <v>Sports</v>
      </c>
      <c r="M546" t="str">
        <f>VLOOKUP(E542, Sales_Reps!$A$2:$E$31, 3, FALSE)</f>
        <v>North</v>
      </c>
      <c r="N546">
        <f>VLOOKUP(D546, Products!$A$2:$F$61, 4, FALSE)</f>
        <v>2028</v>
      </c>
    </row>
    <row r="547" spans="1:14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 t="str">
        <f>VLOOKUP(D547, Products!$A$2:$F$61, 3, FALSE)</f>
        <v>Sports</v>
      </c>
      <c r="M547" t="str">
        <f>VLOOKUP(E543, Sales_Reps!$A$2:$E$31, 3, FALSE)</f>
        <v>East</v>
      </c>
      <c r="N547">
        <f>VLOOKUP(D547, Products!$A$2:$F$61, 4, FALSE)</f>
        <v>974</v>
      </c>
    </row>
    <row r="548" spans="1:14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 t="str">
        <f>VLOOKUP(D548, Products!$A$2:$F$61, 3, FALSE)</f>
        <v>Home</v>
      </c>
      <c r="M548" t="str">
        <f>VLOOKUP(E544, Sales_Reps!$A$2:$E$31, 3, FALSE)</f>
        <v>North</v>
      </c>
      <c r="N548">
        <f>VLOOKUP(D548, Products!$A$2:$F$61, 4, FALSE)</f>
        <v>2459</v>
      </c>
    </row>
    <row r="549" spans="1:14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 t="str">
        <f>VLOOKUP(D549, Products!$A$2:$F$61, 3, FALSE)</f>
        <v>Home</v>
      </c>
      <c r="M549" t="str">
        <f>VLOOKUP(E545, Sales_Reps!$A$2:$E$31, 3, FALSE)</f>
        <v>East</v>
      </c>
      <c r="N549">
        <f>VLOOKUP(D549, Products!$A$2:$F$61, 4, FALSE)</f>
        <v>2459</v>
      </c>
    </row>
    <row r="550" spans="1:14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 t="str">
        <f>VLOOKUP(D550, Products!$A$2:$F$61, 3, FALSE)</f>
        <v>Sports</v>
      </c>
      <c r="M550" t="str">
        <f>VLOOKUP(E546, Sales_Reps!$A$2:$E$31, 3, FALSE)</f>
        <v>East</v>
      </c>
      <c r="N550">
        <f>VLOOKUP(D550, Products!$A$2:$F$61, 4, FALSE)</f>
        <v>705</v>
      </c>
    </row>
    <row r="551" spans="1:14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 t="str">
        <f>VLOOKUP(D551, Products!$A$2:$F$61, 3, FALSE)</f>
        <v>Grocery</v>
      </c>
      <c r="M551" t="str">
        <f>VLOOKUP(E547, Sales_Reps!$A$2:$E$31, 3, FALSE)</f>
        <v>East</v>
      </c>
      <c r="N551">
        <f>VLOOKUP(D551, Products!$A$2:$F$61, 4, FALSE)</f>
        <v>2214</v>
      </c>
    </row>
    <row r="552" spans="1:14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 t="str">
        <f>VLOOKUP(D552, Products!$A$2:$F$61, 3, FALSE)</f>
        <v>Electronics</v>
      </c>
      <c r="M552" t="str">
        <f>VLOOKUP(E548, Sales_Reps!$A$2:$E$31, 3, FALSE)</f>
        <v>South</v>
      </c>
      <c r="N552">
        <f>VLOOKUP(D552, Products!$A$2:$F$61, 4, FALSE)</f>
        <v>1149</v>
      </c>
    </row>
    <row r="553" spans="1:14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 t="str">
        <f>VLOOKUP(D553, Products!$A$2:$F$61, 3, FALSE)</f>
        <v>Electronics</v>
      </c>
      <c r="M553" t="str">
        <f>VLOOKUP(E549, Sales_Reps!$A$2:$E$31, 3, FALSE)</f>
        <v>South</v>
      </c>
      <c r="N553">
        <f>VLOOKUP(D553, Products!$A$2:$F$61, 4, FALSE)</f>
        <v>517</v>
      </c>
    </row>
    <row r="554" spans="1:14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 t="str">
        <f>VLOOKUP(D554, Products!$A$2:$F$61, 3, FALSE)</f>
        <v>Electronics</v>
      </c>
      <c r="M554" t="str">
        <f>VLOOKUP(E550, Sales_Reps!$A$2:$E$31, 3, FALSE)</f>
        <v>North</v>
      </c>
      <c r="N554">
        <f>VLOOKUP(D554, Products!$A$2:$F$61, 4, FALSE)</f>
        <v>128</v>
      </c>
    </row>
    <row r="555" spans="1:14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 t="str">
        <f>VLOOKUP(D555, Products!$A$2:$F$61, 3, FALSE)</f>
        <v>Sports</v>
      </c>
      <c r="M555" t="str">
        <f>VLOOKUP(E551, Sales_Reps!$A$2:$E$31, 3, FALSE)</f>
        <v>West</v>
      </c>
      <c r="N555">
        <f>VLOOKUP(D555, Products!$A$2:$F$61, 4, FALSE)</f>
        <v>516</v>
      </c>
    </row>
    <row r="556" spans="1:14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 t="str">
        <f>VLOOKUP(D556, Products!$A$2:$F$61, 3, FALSE)</f>
        <v>Electronics</v>
      </c>
      <c r="M556" t="str">
        <f>VLOOKUP(E552, Sales_Reps!$A$2:$E$31, 3, FALSE)</f>
        <v>South</v>
      </c>
      <c r="N556">
        <f>VLOOKUP(D556, Products!$A$2:$F$61, 4, FALSE)</f>
        <v>1052</v>
      </c>
    </row>
    <row r="557" spans="1:14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 t="str">
        <f>VLOOKUP(D557, Products!$A$2:$F$61, 3, FALSE)</f>
        <v>Sports</v>
      </c>
      <c r="M557" t="str">
        <f>VLOOKUP(E553, Sales_Reps!$A$2:$E$31, 3, FALSE)</f>
        <v>South</v>
      </c>
      <c r="N557">
        <f>VLOOKUP(D557, Products!$A$2:$F$61, 4, FALSE)</f>
        <v>2827</v>
      </c>
    </row>
    <row r="558" spans="1:14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 t="str">
        <f>VLOOKUP(D558, Products!$A$2:$F$61, 3, FALSE)</f>
        <v>Home</v>
      </c>
      <c r="M558" t="str">
        <f>VLOOKUP(E554, Sales_Reps!$A$2:$E$31, 3, FALSE)</f>
        <v>South</v>
      </c>
      <c r="N558">
        <f>VLOOKUP(D558, Products!$A$2:$F$61, 4, FALSE)</f>
        <v>288</v>
      </c>
    </row>
    <row r="559" spans="1:14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 t="str">
        <f>VLOOKUP(D559, Products!$A$2:$F$61, 3, FALSE)</f>
        <v>Grocery</v>
      </c>
      <c r="M559" t="str">
        <f>VLOOKUP(E555, Sales_Reps!$A$2:$E$31, 3, FALSE)</f>
        <v>East</v>
      </c>
      <c r="N559">
        <f>VLOOKUP(D559, Products!$A$2:$F$61, 4, FALSE)</f>
        <v>2436</v>
      </c>
    </row>
    <row r="560" spans="1:14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 t="str">
        <f>VLOOKUP(D560, Products!$A$2:$F$61, 3, FALSE)</f>
        <v>Grocery</v>
      </c>
      <c r="M560" t="str">
        <f>VLOOKUP(E556, Sales_Reps!$A$2:$E$31, 3, FALSE)</f>
        <v>South</v>
      </c>
      <c r="N560">
        <f>VLOOKUP(D560, Products!$A$2:$F$61, 4, FALSE)</f>
        <v>434</v>
      </c>
    </row>
    <row r="561" spans="1:14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 t="str">
        <f>VLOOKUP(D561, Products!$A$2:$F$61, 3, FALSE)</f>
        <v>Grocery</v>
      </c>
      <c r="M561" t="str">
        <f>VLOOKUP(E557, Sales_Reps!$A$2:$E$31, 3, FALSE)</f>
        <v>West</v>
      </c>
      <c r="N561">
        <f>VLOOKUP(D561, Products!$A$2:$F$61, 4, FALSE)</f>
        <v>1412</v>
      </c>
    </row>
    <row r="562" spans="1:14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 t="str">
        <f>VLOOKUP(D562, Products!$A$2:$F$61, 3, FALSE)</f>
        <v>Beauty</v>
      </c>
      <c r="M562" t="str">
        <f>VLOOKUP(E558, Sales_Reps!$A$2:$E$31, 3, FALSE)</f>
        <v>South</v>
      </c>
      <c r="N562">
        <f>VLOOKUP(D562, Products!$A$2:$F$61, 4, FALSE)</f>
        <v>647</v>
      </c>
    </row>
    <row r="563" spans="1:14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 t="str">
        <f>VLOOKUP(D563, Products!$A$2:$F$61, 3, FALSE)</f>
        <v>Grocery</v>
      </c>
      <c r="M563" t="str">
        <f>VLOOKUP(E559, Sales_Reps!$A$2:$E$31, 3, FALSE)</f>
        <v>West</v>
      </c>
      <c r="N563">
        <f>VLOOKUP(D563, Products!$A$2:$F$61, 4, FALSE)</f>
        <v>1435</v>
      </c>
    </row>
    <row r="564" spans="1:14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 t="str">
        <f>VLOOKUP(D564, Products!$A$2:$F$61, 3, FALSE)</f>
        <v>Grocery</v>
      </c>
      <c r="M564" t="str">
        <f>VLOOKUP(E560, Sales_Reps!$A$2:$E$31, 3, FALSE)</f>
        <v>East</v>
      </c>
      <c r="N564">
        <f>VLOOKUP(D564, Products!$A$2:$F$61, 4, FALSE)</f>
        <v>1203</v>
      </c>
    </row>
    <row r="565" spans="1:14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 t="str">
        <f>VLOOKUP(D565, Products!$A$2:$F$61, 3, FALSE)</f>
        <v>Beauty</v>
      </c>
      <c r="M565" t="str">
        <f>VLOOKUP(E561, Sales_Reps!$A$2:$E$31, 3, FALSE)</f>
        <v>North</v>
      </c>
      <c r="N565">
        <f>VLOOKUP(D565, Products!$A$2:$F$61, 4, FALSE)</f>
        <v>1626</v>
      </c>
    </row>
    <row r="566" spans="1:14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 t="str">
        <f>VLOOKUP(D566, Products!$A$2:$F$61, 3, FALSE)</f>
        <v>Grocery</v>
      </c>
      <c r="M566" t="str">
        <f>VLOOKUP(E562, Sales_Reps!$A$2:$E$31, 3, FALSE)</f>
        <v>West</v>
      </c>
      <c r="N566">
        <f>VLOOKUP(D566, Products!$A$2:$F$61, 4, FALSE)</f>
        <v>1182</v>
      </c>
    </row>
    <row r="567" spans="1:14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 t="str">
        <f>VLOOKUP(D567, Products!$A$2:$F$61, 3, FALSE)</f>
        <v>Sports</v>
      </c>
      <c r="M567" t="str">
        <f>VLOOKUP(E563, Sales_Reps!$A$2:$E$31, 3, FALSE)</f>
        <v>East</v>
      </c>
      <c r="N567">
        <f>VLOOKUP(D567, Products!$A$2:$F$61, 4, FALSE)</f>
        <v>2827</v>
      </c>
    </row>
    <row r="568" spans="1:14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 t="str">
        <f>VLOOKUP(D568, Products!$A$2:$F$61, 3, FALSE)</f>
        <v>Electronics</v>
      </c>
      <c r="M568" t="str">
        <f>VLOOKUP(E564, Sales_Reps!$A$2:$E$31, 3, FALSE)</f>
        <v>West</v>
      </c>
      <c r="N568">
        <f>VLOOKUP(D568, Products!$A$2:$F$61, 4, FALSE)</f>
        <v>1259</v>
      </c>
    </row>
    <row r="569" spans="1:14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 t="str">
        <f>VLOOKUP(D569, Products!$A$2:$F$61, 3, FALSE)</f>
        <v>Grocery</v>
      </c>
      <c r="M569" t="str">
        <f>VLOOKUP(E565, Sales_Reps!$A$2:$E$31, 3, FALSE)</f>
        <v>South</v>
      </c>
      <c r="N569">
        <f>VLOOKUP(D569, Products!$A$2:$F$61, 4, FALSE)</f>
        <v>434</v>
      </c>
    </row>
    <row r="570" spans="1:14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 t="str">
        <f>VLOOKUP(D570, Products!$A$2:$F$61, 3, FALSE)</f>
        <v>Grocery</v>
      </c>
      <c r="M570" t="str">
        <f>VLOOKUP(E566, Sales_Reps!$A$2:$E$31, 3, FALSE)</f>
        <v>East</v>
      </c>
      <c r="N570">
        <f>VLOOKUP(D570, Products!$A$2:$F$61, 4, FALSE)</f>
        <v>1412</v>
      </c>
    </row>
    <row r="571" spans="1:14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 t="str">
        <f>VLOOKUP(D571, Products!$A$2:$F$61, 3, FALSE)</f>
        <v>Sports</v>
      </c>
      <c r="M571" t="str">
        <f>VLOOKUP(E567, Sales_Reps!$A$2:$E$31, 3, FALSE)</f>
        <v>West</v>
      </c>
      <c r="N571">
        <f>VLOOKUP(D571, Products!$A$2:$F$61, 4, FALSE)</f>
        <v>516</v>
      </c>
    </row>
    <row r="572" spans="1:14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 t="str">
        <f>VLOOKUP(D572, Products!$A$2:$F$61, 3, FALSE)</f>
        <v>Grocery</v>
      </c>
      <c r="M572" t="str">
        <f>VLOOKUP(E568, Sales_Reps!$A$2:$E$31, 3, FALSE)</f>
        <v>South</v>
      </c>
      <c r="N572">
        <f>VLOOKUP(D572, Products!$A$2:$F$61, 4, FALSE)</f>
        <v>1182</v>
      </c>
    </row>
    <row r="573" spans="1:14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 t="str">
        <f>VLOOKUP(D573, Products!$A$2:$F$61, 3, FALSE)</f>
        <v>Sports</v>
      </c>
      <c r="M573" t="str">
        <f>VLOOKUP(E569, Sales_Reps!$A$2:$E$31, 3, FALSE)</f>
        <v>South</v>
      </c>
      <c r="N573">
        <f>VLOOKUP(D573, Products!$A$2:$F$61, 4, FALSE)</f>
        <v>302</v>
      </c>
    </row>
    <row r="574" spans="1:14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 t="str">
        <f>VLOOKUP(D574, Products!$A$2:$F$61, 3, FALSE)</f>
        <v>Beauty</v>
      </c>
      <c r="M574" t="str">
        <f>VLOOKUP(E570, Sales_Reps!$A$2:$E$31, 3, FALSE)</f>
        <v>North</v>
      </c>
      <c r="N574">
        <f>VLOOKUP(D574, Products!$A$2:$F$61, 4, FALSE)</f>
        <v>2237</v>
      </c>
    </row>
    <row r="575" spans="1:14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 t="str">
        <f>VLOOKUP(D575, Products!$A$2:$F$61, 3, FALSE)</f>
        <v>Beauty</v>
      </c>
      <c r="M575" t="str">
        <f>VLOOKUP(E571, Sales_Reps!$A$2:$E$31, 3, FALSE)</f>
        <v>South</v>
      </c>
      <c r="N575">
        <f>VLOOKUP(D575, Products!$A$2:$F$61, 4, FALSE)</f>
        <v>675</v>
      </c>
    </row>
    <row r="576" spans="1:14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 t="str">
        <f>VLOOKUP(D576, Products!$A$2:$F$61, 3, FALSE)</f>
        <v>Grocery</v>
      </c>
      <c r="M576" t="str">
        <f>VLOOKUP(E572, Sales_Reps!$A$2:$E$31, 3, FALSE)</f>
        <v>North</v>
      </c>
      <c r="N576">
        <f>VLOOKUP(D576, Products!$A$2:$F$61, 4, FALSE)</f>
        <v>2027</v>
      </c>
    </row>
    <row r="577" spans="1:14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 t="str">
        <f>VLOOKUP(D577, Products!$A$2:$F$61, 3, FALSE)</f>
        <v>Home</v>
      </c>
      <c r="M577" t="str">
        <f>VLOOKUP(E573, Sales_Reps!$A$2:$E$31, 3, FALSE)</f>
        <v>East</v>
      </c>
      <c r="N577">
        <f>VLOOKUP(D577, Products!$A$2:$F$61, 4, FALSE)</f>
        <v>2135</v>
      </c>
    </row>
    <row r="578" spans="1:14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 t="str">
        <f>VLOOKUP(D578, Products!$A$2:$F$61, 3, FALSE)</f>
        <v>Sports</v>
      </c>
      <c r="M578" t="str">
        <f>VLOOKUP(E574, Sales_Reps!$A$2:$E$31, 3, FALSE)</f>
        <v>West</v>
      </c>
      <c r="N578">
        <f>VLOOKUP(D578, Products!$A$2:$F$61, 4, FALSE)</f>
        <v>2028</v>
      </c>
    </row>
    <row r="579" spans="1:14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 t="str">
        <f>VLOOKUP(D579, Products!$A$2:$F$61, 3, FALSE)</f>
        <v>Beauty</v>
      </c>
      <c r="M579" t="str">
        <f>VLOOKUP(E575, Sales_Reps!$A$2:$E$31, 3, FALSE)</f>
        <v>West</v>
      </c>
      <c r="N579">
        <f>VLOOKUP(D579, Products!$A$2:$F$61, 4, FALSE)</f>
        <v>2768</v>
      </c>
    </row>
    <row r="580" spans="1:14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 t="str">
        <f>VLOOKUP(D580, Products!$A$2:$F$61, 3, FALSE)</f>
        <v>Grocery</v>
      </c>
      <c r="M580" t="str">
        <f>VLOOKUP(E576, Sales_Reps!$A$2:$E$31, 3, FALSE)</f>
        <v>North</v>
      </c>
      <c r="N580">
        <f>VLOOKUP(D580, Products!$A$2:$F$61, 4, FALSE)</f>
        <v>1412</v>
      </c>
    </row>
    <row r="581" spans="1:14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 t="str">
        <f>VLOOKUP(D581, Products!$A$2:$F$61, 3, FALSE)</f>
        <v>Grocery</v>
      </c>
      <c r="M581" t="str">
        <f>VLOOKUP(E577, Sales_Reps!$A$2:$E$31, 3, FALSE)</f>
        <v>East</v>
      </c>
      <c r="N581">
        <f>VLOOKUP(D581, Products!$A$2:$F$61, 4, FALSE)</f>
        <v>2911</v>
      </c>
    </row>
    <row r="582" spans="1:14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 t="str">
        <f>VLOOKUP(D582, Products!$A$2:$F$61, 3, FALSE)</f>
        <v>Electronics</v>
      </c>
      <c r="M582" t="str">
        <f>VLOOKUP(E578, Sales_Reps!$A$2:$E$31, 3, FALSE)</f>
        <v>East</v>
      </c>
      <c r="N582">
        <f>VLOOKUP(D582, Products!$A$2:$F$61, 4, FALSE)</f>
        <v>1149</v>
      </c>
    </row>
    <row r="583" spans="1:14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 t="str">
        <f>VLOOKUP(D583, Products!$A$2:$F$61, 3, FALSE)</f>
        <v>Home</v>
      </c>
      <c r="M583" t="str">
        <f>VLOOKUP(E579, Sales_Reps!$A$2:$E$31, 3, FALSE)</f>
        <v>East</v>
      </c>
      <c r="N583">
        <f>VLOOKUP(D583, Products!$A$2:$F$61, 4, FALSE)</f>
        <v>2135</v>
      </c>
    </row>
    <row r="584" spans="1:14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 t="str">
        <f>VLOOKUP(D584, Products!$A$2:$F$61, 3, FALSE)</f>
        <v>Electronics</v>
      </c>
      <c r="M584" t="str">
        <f>VLOOKUP(E580, Sales_Reps!$A$2:$E$31, 3, FALSE)</f>
        <v>East</v>
      </c>
      <c r="N584">
        <f>VLOOKUP(D584, Products!$A$2:$F$61, 4, FALSE)</f>
        <v>2405</v>
      </c>
    </row>
    <row r="585" spans="1:14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 t="str">
        <f>VLOOKUP(D585, Products!$A$2:$F$61, 3, FALSE)</f>
        <v>Apparel</v>
      </c>
      <c r="M585" t="str">
        <f>VLOOKUP(E581, Sales_Reps!$A$2:$E$31, 3, FALSE)</f>
        <v>North</v>
      </c>
      <c r="N585">
        <f>VLOOKUP(D585, Products!$A$2:$F$61, 4, FALSE)</f>
        <v>1748</v>
      </c>
    </row>
    <row r="586" spans="1:14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 t="str">
        <f>VLOOKUP(D586, Products!$A$2:$F$61, 3, FALSE)</f>
        <v>Beauty</v>
      </c>
      <c r="M586" t="str">
        <f>VLOOKUP(E582, Sales_Reps!$A$2:$E$31, 3, FALSE)</f>
        <v>North</v>
      </c>
      <c r="N586">
        <f>VLOOKUP(D586, Products!$A$2:$F$61, 4, FALSE)</f>
        <v>2617</v>
      </c>
    </row>
    <row r="587" spans="1:14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 t="str">
        <f>VLOOKUP(D587, Products!$A$2:$F$61, 3, FALSE)</f>
        <v>Home</v>
      </c>
      <c r="M587" t="str">
        <f>VLOOKUP(E583, Sales_Reps!$A$2:$E$31, 3, FALSE)</f>
        <v>South</v>
      </c>
      <c r="N587">
        <f>VLOOKUP(D587, Products!$A$2:$F$61, 4, FALSE)</f>
        <v>2135</v>
      </c>
    </row>
    <row r="588" spans="1:14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 t="str">
        <f>VLOOKUP(D588, Products!$A$2:$F$61, 3, FALSE)</f>
        <v>Electronics</v>
      </c>
      <c r="M588" t="str">
        <f>VLOOKUP(E584, Sales_Reps!$A$2:$E$31, 3, FALSE)</f>
        <v>North</v>
      </c>
      <c r="N588">
        <f>VLOOKUP(D588, Products!$A$2:$F$61, 4, FALSE)</f>
        <v>1259</v>
      </c>
    </row>
    <row r="589" spans="1:14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 t="str">
        <f>VLOOKUP(D589, Products!$A$2:$F$61, 3, FALSE)</f>
        <v>Grocery</v>
      </c>
      <c r="M589" t="str">
        <f>VLOOKUP(E585, Sales_Reps!$A$2:$E$31, 3, FALSE)</f>
        <v>West</v>
      </c>
      <c r="N589">
        <f>VLOOKUP(D589, Products!$A$2:$F$61, 4, FALSE)</f>
        <v>1010</v>
      </c>
    </row>
    <row r="590" spans="1:14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 t="str">
        <f>VLOOKUP(D590, Products!$A$2:$F$61, 3, FALSE)</f>
        <v>Sports</v>
      </c>
      <c r="M590" t="str">
        <f>VLOOKUP(E586, Sales_Reps!$A$2:$E$31, 3, FALSE)</f>
        <v>East</v>
      </c>
      <c r="N590">
        <f>VLOOKUP(D590, Products!$A$2:$F$61, 4, FALSE)</f>
        <v>1860</v>
      </c>
    </row>
    <row r="591" spans="1:14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 t="str">
        <f>VLOOKUP(D591, Products!$A$2:$F$61, 3, FALSE)</f>
        <v>Home</v>
      </c>
      <c r="M591" t="str">
        <f>VLOOKUP(E587, Sales_Reps!$A$2:$E$31, 3, FALSE)</f>
        <v>North</v>
      </c>
      <c r="N591">
        <f>VLOOKUP(D591, Products!$A$2:$F$61, 4, FALSE)</f>
        <v>2549</v>
      </c>
    </row>
    <row r="592" spans="1:14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 t="str">
        <f>VLOOKUP(D592, Products!$A$2:$F$61, 3, FALSE)</f>
        <v>Electronics</v>
      </c>
      <c r="M592" t="str">
        <f>VLOOKUP(E588, Sales_Reps!$A$2:$E$31, 3, FALSE)</f>
        <v>East</v>
      </c>
      <c r="N592">
        <f>VLOOKUP(D592, Products!$A$2:$F$61, 4, FALSE)</f>
        <v>1259</v>
      </c>
    </row>
    <row r="593" spans="1:14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 t="str">
        <f>VLOOKUP(D593, Products!$A$2:$F$61, 3, FALSE)</f>
        <v>Sports</v>
      </c>
      <c r="M593" t="str">
        <f>VLOOKUP(E589, Sales_Reps!$A$2:$E$31, 3, FALSE)</f>
        <v>East</v>
      </c>
      <c r="N593">
        <f>VLOOKUP(D593, Products!$A$2:$F$61, 4, FALSE)</f>
        <v>2827</v>
      </c>
    </row>
    <row r="594" spans="1:14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 t="str">
        <f>VLOOKUP(D594, Products!$A$2:$F$61, 3, FALSE)</f>
        <v>Electronics</v>
      </c>
      <c r="M594" t="str">
        <f>VLOOKUP(E590, Sales_Reps!$A$2:$E$31, 3, FALSE)</f>
        <v>South</v>
      </c>
      <c r="N594">
        <f>VLOOKUP(D594, Products!$A$2:$F$61, 4, FALSE)</f>
        <v>1559</v>
      </c>
    </row>
    <row r="595" spans="1:14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 t="str">
        <f>VLOOKUP(D595, Products!$A$2:$F$61, 3, FALSE)</f>
        <v>Home</v>
      </c>
      <c r="M595" t="str">
        <f>VLOOKUP(E591, Sales_Reps!$A$2:$E$31, 3, FALSE)</f>
        <v>West</v>
      </c>
      <c r="N595">
        <f>VLOOKUP(D595, Products!$A$2:$F$61, 4, FALSE)</f>
        <v>464</v>
      </c>
    </row>
    <row r="596" spans="1:14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 t="str">
        <f>VLOOKUP(D596, Products!$A$2:$F$61, 3, FALSE)</f>
        <v>Electronics</v>
      </c>
      <c r="M596" t="str">
        <f>VLOOKUP(E592, Sales_Reps!$A$2:$E$31, 3, FALSE)</f>
        <v>South</v>
      </c>
      <c r="N596">
        <f>VLOOKUP(D596, Products!$A$2:$F$61, 4, FALSE)</f>
        <v>1052</v>
      </c>
    </row>
    <row r="597" spans="1:14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 t="str">
        <f>VLOOKUP(D597, Products!$A$2:$F$61, 3, FALSE)</f>
        <v>Sports</v>
      </c>
      <c r="M597" t="str">
        <f>VLOOKUP(E593, Sales_Reps!$A$2:$E$31, 3, FALSE)</f>
        <v>West</v>
      </c>
      <c r="N597">
        <f>VLOOKUP(D597, Products!$A$2:$F$61, 4, FALSE)</f>
        <v>705</v>
      </c>
    </row>
    <row r="598" spans="1:14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 t="str">
        <f>VLOOKUP(D598, Products!$A$2:$F$61, 3, FALSE)</f>
        <v>Home</v>
      </c>
      <c r="M598" t="str">
        <f>VLOOKUP(E594, Sales_Reps!$A$2:$E$31, 3, FALSE)</f>
        <v>North</v>
      </c>
      <c r="N598">
        <f>VLOOKUP(D598, Products!$A$2:$F$61, 4, FALSE)</f>
        <v>288</v>
      </c>
    </row>
    <row r="599" spans="1:14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 t="str">
        <f>VLOOKUP(D599, Products!$A$2:$F$61, 3, FALSE)</f>
        <v>Home</v>
      </c>
      <c r="M599" t="str">
        <f>VLOOKUP(E595, Sales_Reps!$A$2:$E$31, 3, FALSE)</f>
        <v>North</v>
      </c>
      <c r="N599">
        <f>VLOOKUP(D599, Products!$A$2:$F$61, 4, FALSE)</f>
        <v>2459</v>
      </c>
    </row>
    <row r="600" spans="1:14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 t="str">
        <f>VLOOKUP(D600, Products!$A$2:$F$61, 3, FALSE)</f>
        <v>Beauty</v>
      </c>
      <c r="M600" t="str">
        <f>VLOOKUP(E596, Sales_Reps!$A$2:$E$31, 3, FALSE)</f>
        <v>North</v>
      </c>
      <c r="N600">
        <f>VLOOKUP(D600, Products!$A$2:$F$61, 4, FALSE)</f>
        <v>647</v>
      </c>
    </row>
    <row r="601" spans="1:14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 t="str">
        <f>VLOOKUP(D601, Products!$A$2:$F$61, 3, FALSE)</f>
        <v>Grocery</v>
      </c>
      <c r="M601" t="str">
        <f>VLOOKUP(E597, Sales_Reps!$A$2:$E$31, 3, FALSE)</f>
        <v>East</v>
      </c>
      <c r="N601">
        <f>VLOOKUP(D601, Products!$A$2:$F$61, 4, FALSE)</f>
        <v>1203</v>
      </c>
    </row>
    <row r="602" spans="1:14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 t="str">
        <f>VLOOKUP(D602, Products!$A$2:$F$61, 3, FALSE)</f>
        <v>Sports</v>
      </c>
      <c r="M602" t="str">
        <f>VLOOKUP(E598, Sales_Reps!$A$2:$E$31, 3, FALSE)</f>
        <v>West</v>
      </c>
      <c r="N602">
        <f>VLOOKUP(D602, Products!$A$2:$F$61, 4, FALSE)</f>
        <v>705</v>
      </c>
    </row>
    <row r="603" spans="1:14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 t="str">
        <f>VLOOKUP(D603, Products!$A$2:$F$61, 3, FALSE)</f>
        <v>Electronics</v>
      </c>
      <c r="M603" t="str">
        <f>VLOOKUP(E599, Sales_Reps!$A$2:$E$31, 3, FALSE)</f>
        <v>North</v>
      </c>
      <c r="N603">
        <f>VLOOKUP(D603, Products!$A$2:$F$61, 4, FALSE)</f>
        <v>861</v>
      </c>
    </row>
    <row r="604" spans="1:14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 t="str">
        <f>VLOOKUP(D604, Products!$A$2:$F$61, 3, FALSE)</f>
        <v>Beauty</v>
      </c>
      <c r="M604" t="str">
        <f>VLOOKUP(E600, Sales_Reps!$A$2:$E$31, 3, FALSE)</f>
        <v>North</v>
      </c>
      <c r="N604">
        <f>VLOOKUP(D604, Products!$A$2:$F$61, 4, FALSE)</f>
        <v>2420</v>
      </c>
    </row>
    <row r="605" spans="1:14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 t="str">
        <f>VLOOKUP(D605, Products!$A$2:$F$61, 3, FALSE)</f>
        <v>Electronics</v>
      </c>
      <c r="M605" t="str">
        <f>VLOOKUP(E601, Sales_Reps!$A$2:$E$31, 3, FALSE)</f>
        <v>South</v>
      </c>
      <c r="N605">
        <f>VLOOKUP(D605, Products!$A$2:$F$61, 4, FALSE)</f>
        <v>517</v>
      </c>
    </row>
    <row r="606" spans="1:14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 t="str">
        <f>VLOOKUP(D606, Products!$A$2:$F$61, 3, FALSE)</f>
        <v>Grocery</v>
      </c>
      <c r="M606" t="str">
        <f>VLOOKUP(E602, Sales_Reps!$A$2:$E$31, 3, FALSE)</f>
        <v>South</v>
      </c>
      <c r="N606">
        <f>VLOOKUP(D606, Products!$A$2:$F$61, 4, FALSE)</f>
        <v>1435</v>
      </c>
    </row>
    <row r="607" spans="1:14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 t="str">
        <f>VLOOKUP(D607, Products!$A$2:$F$61, 3, FALSE)</f>
        <v>Beauty</v>
      </c>
      <c r="M607" t="str">
        <f>VLOOKUP(E603, Sales_Reps!$A$2:$E$31, 3, FALSE)</f>
        <v>West</v>
      </c>
      <c r="N607">
        <f>VLOOKUP(D607, Products!$A$2:$F$61, 4, FALSE)</f>
        <v>1728</v>
      </c>
    </row>
    <row r="608" spans="1:14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 t="str">
        <f>VLOOKUP(D608, Products!$A$2:$F$61, 3, FALSE)</f>
        <v>Beauty</v>
      </c>
      <c r="M608" t="str">
        <f>VLOOKUP(E604, Sales_Reps!$A$2:$E$31, 3, FALSE)</f>
        <v>North</v>
      </c>
      <c r="N608">
        <f>VLOOKUP(D608, Products!$A$2:$F$61, 4, FALSE)</f>
        <v>2237</v>
      </c>
    </row>
    <row r="609" spans="1:14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 t="str">
        <f>VLOOKUP(D609, Products!$A$2:$F$61, 3, FALSE)</f>
        <v>Electronics</v>
      </c>
      <c r="M609" t="str">
        <f>VLOOKUP(E605, Sales_Reps!$A$2:$E$31, 3, FALSE)</f>
        <v>West</v>
      </c>
      <c r="N609">
        <f>VLOOKUP(D609, Products!$A$2:$F$61, 4, FALSE)</f>
        <v>1149</v>
      </c>
    </row>
    <row r="610" spans="1:14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 t="str">
        <f>VLOOKUP(D610, Products!$A$2:$F$61, 3, FALSE)</f>
        <v>Grocery</v>
      </c>
      <c r="M610" t="str">
        <f>VLOOKUP(E606, Sales_Reps!$A$2:$E$31, 3, FALSE)</f>
        <v>East</v>
      </c>
      <c r="N610">
        <f>VLOOKUP(D610, Products!$A$2:$F$61, 4, FALSE)</f>
        <v>2214</v>
      </c>
    </row>
    <row r="611" spans="1:14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 t="str">
        <f>VLOOKUP(D611, Products!$A$2:$F$61, 3, FALSE)</f>
        <v>Home</v>
      </c>
      <c r="M611" t="str">
        <f>VLOOKUP(E607, Sales_Reps!$A$2:$E$31, 3, FALSE)</f>
        <v>East</v>
      </c>
      <c r="N611">
        <f>VLOOKUP(D611, Products!$A$2:$F$61, 4, FALSE)</f>
        <v>288</v>
      </c>
    </row>
    <row r="612" spans="1:14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 t="str">
        <f>VLOOKUP(D612, Products!$A$2:$F$61, 3, FALSE)</f>
        <v>Apparel</v>
      </c>
      <c r="M612" t="str">
        <f>VLOOKUP(E608, Sales_Reps!$A$2:$E$31, 3, FALSE)</f>
        <v>South</v>
      </c>
      <c r="N612">
        <f>VLOOKUP(D612, Products!$A$2:$F$61, 4, FALSE)</f>
        <v>396</v>
      </c>
    </row>
    <row r="613" spans="1:14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 t="str">
        <f>VLOOKUP(D613, Products!$A$2:$F$61, 3, FALSE)</f>
        <v>Sports</v>
      </c>
      <c r="M613" t="str">
        <f>VLOOKUP(E609, Sales_Reps!$A$2:$E$31, 3, FALSE)</f>
        <v>West</v>
      </c>
      <c r="N613">
        <f>VLOOKUP(D613, Products!$A$2:$F$61, 4, FALSE)</f>
        <v>302</v>
      </c>
    </row>
    <row r="614" spans="1:14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 t="str">
        <f>VLOOKUP(D614, Products!$A$2:$F$61, 3, FALSE)</f>
        <v>Beauty</v>
      </c>
      <c r="M614" t="str">
        <f>VLOOKUP(E610, Sales_Reps!$A$2:$E$31, 3, FALSE)</f>
        <v>South</v>
      </c>
      <c r="N614">
        <f>VLOOKUP(D614, Products!$A$2:$F$61, 4, FALSE)</f>
        <v>1219</v>
      </c>
    </row>
    <row r="615" spans="1:14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 t="str">
        <f>VLOOKUP(D615, Products!$A$2:$F$61, 3, FALSE)</f>
        <v>Sports</v>
      </c>
      <c r="M615" t="str">
        <f>VLOOKUP(E611, Sales_Reps!$A$2:$E$31, 3, FALSE)</f>
        <v>West</v>
      </c>
      <c r="N615">
        <f>VLOOKUP(D615, Products!$A$2:$F$61, 4, FALSE)</f>
        <v>705</v>
      </c>
    </row>
    <row r="616" spans="1:14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 t="str">
        <f>VLOOKUP(D616, Products!$A$2:$F$61, 3, FALSE)</f>
        <v>Grocery</v>
      </c>
      <c r="M616" t="str">
        <f>VLOOKUP(E612, Sales_Reps!$A$2:$E$31, 3, FALSE)</f>
        <v>West</v>
      </c>
      <c r="N616">
        <f>VLOOKUP(D616, Products!$A$2:$F$61, 4, FALSE)</f>
        <v>2214</v>
      </c>
    </row>
    <row r="617" spans="1:14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 t="str">
        <f>VLOOKUP(D617, Products!$A$2:$F$61, 3, FALSE)</f>
        <v>Electronics</v>
      </c>
      <c r="M617" t="str">
        <f>VLOOKUP(E613, Sales_Reps!$A$2:$E$31, 3, FALSE)</f>
        <v>East</v>
      </c>
      <c r="N617">
        <f>VLOOKUP(D617, Products!$A$2:$F$61, 4, FALSE)</f>
        <v>1665</v>
      </c>
    </row>
    <row r="618" spans="1:14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 t="str">
        <f>VLOOKUP(D618, Products!$A$2:$F$61, 3, FALSE)</f>
        <v>Home</v>
      </c>
      <c r="M618" t="str">
        <f>VLOOKUP(E614, Sales_Reps!$A$2:$E$31, 3, FALSE)</f>
        <v>North</v>
      </c>
      <c r="N618">
        <f>VLOOKUP(D618, Products!$A$2:$F$61, 4, FALSE)</f>
        <v>1143</v>
      </c>
    </row>
    <row r="619" spans="1:14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 t="str">
        <f>VLOOKUP(D619, Products!$A$2:$F$61, 3, FALSE)</f>
        <v>Apparel</v>
      </c>
      <c r="M619" t="str">
        <f>VLOOKUP(E615, Sales_Reps!$A$2:$E$31, 3, FALSE)</f>
        <v>West</v>
      </c>
      <c r="N619">
        <f>VLOOKUP(D619, Products!$A$2:$F$61, 4, FALSE)</f>
        <v>1962</v>
      </c>
    </row>
    <row r="620" spans="1:14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 t="str">
        <f>VLOOKUP(D620, Products!$A$2:$F$61, 3, FALSE)</f>
        <v>Electronics</v>
      </c>
      <c r="M620" t="str">
        <f>VLOOKUP(E616, Sales_Reps!$A$2:$E$31, 3, FALSE)</f>
        <v>South</v>
      </c>
      <c r="N620">
        <f>VLOOKUP(D620, Products!$A$2:$F$61, 4, FALSE)</f>
        <v>1665</v>
      </c>
    </row>
    <row r="621" spans="1:14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 t="str">
        <f>VLOOKUP(D621, Products!$A$2:$F$61, 3, FALSE)</f>
        <v>Sports</v>
      </c>
      <c r="M621" t="str">
        <f>VLOOKUP(E617, Sales_Reps!$A$2:$E$31, 3, FALSE)</f>
        <v>East</v>
      </c>
      <c r="N621">
        <f>VLOOKUP(D621, Products!$A$2:$F$61, 4, FALSE)</f>
        <v>974</v>
      </c>
    </row>
    <row r="622" spans="1:14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 t="str">
        <f>VLOOKUP(D622, Products!$A$2:$F$61, 3, FALSE)</f>
        <v>Grocery</v>
      </c>
      <c r="M622" t="str">
        <f>VLOOKUP(E618, Sales_Reps!$A$2:$E$31, 3, FALSE)</f>
        <v>East</v>
      </c>
      <c r="N622">
        <f>VLOOKUP(D622, Products!$A$2:$F$61, 4, FALSE)</f>
        <v>1203</v>
      </c>
    </row>
    <row r="623" spans="1:14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 t="str">
        <f>VLOOKUP(D623, Products!$A$2:$F$61, 3, FALSE)</f>
        <v>Grocery</v>
      </c>
      <c r="M623" t="str">
        <f>VLOOKUP(E619, Sales_Reps!$A$2:$E$31, 3, FALSE)</f>
        <v>West</v>
      </c>
      <c r="N623">
        <f>VLOOKUP(D623, Products!$A$2:$F$61, 4, FALSE)</f>
        <v>434</v>
      </c>
    </row>
    <row r="624" spans="1:14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 t="str">
        <f>VLOOKUP(D624, Products!$A$2:$F$61, 3, FALSE)</f>
        <v>Sports</v>
      </c>
      <c r="M624" t="str">
        <f>VLOOKUP(E620, Sales_Reps!$A$2:$E$31, 3, FALSE)</f>
        <v>North</v>
      </c>
      <c r="N624">
        <f>VLOOKUP(D624, Products!$A$2:$F$61, 4, FALSE)</f>
        <v>2827</v>
      </c>
    </row>
    <row r="625" spans="1:14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 t="str">
        <f>VLOOKUP(D625, Products!$A$2:$F$61, 3, FALSE)</f>
        <v>Sports</v>
      </c>
      <c r="M625" t="str">
        <f>VLOOKUP(E621, Sales_Reps!$A$2:$E$31, 3, FALSE)</f>
        <v>North</v>
      </c>
      <c r="N625">
        <f>VLOOKUP(D625, Products!$A$2:$F$61, 4, FALSE)</f>
        <v>2827</v>
      </c>
    </row>
    <row r="626" spans="1:14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 t="str">
        <f>VLOOKUP(D626, Products!$A$2:$F$61, 3, FALSE)</f>
        <v>Sports</v>
      </c>
      <c r="M626" t="str">
        <f>VLOOKUP(E622, Sales_Reps!$A$2:$E$31, 3, FALSE)</f>
        <v>North</v>
      </c>
      <c r="N626">
        <f>VLOOKUP(D626, Products!$A$2:$F$61, 4, FALSE)</f>
        <v>516</v>
      </c>
    </row>
    <row r="627" spans="1:14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 t="str">
        <f>VLOOKUP(D627, Products!$A$2:$F$61, 3, FALSE)</f>
        <v>Electronics</v>
      </c>
      <c r="M627" t="str">
        <f>VLOOKUP(E623, Sales_Reps!$A$2:$E$31, 3, FALSE)</f>
        <v>South</v>
      </c>
      <c r="N627">
        <f>VLOOKUP(D627, Products!$A$2:$F$61, 4, FALSE)</f>
        <v>1559</v>
      </c>
    </row>
    <row r="628" spans="1:14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 t="str">
        <f>VLOOKUP(D628, Products!$A$2:$F$61, 3, FALSE)</f>
        <v>Beauty</v>
      </c>
      <c r="M628" t="str">
        <f>VLOOKUP(E624, Sales_Reps!$A$2:$E$31, 3, FALSE)</f>
        <v>East</v>
      </c>
      <c r="N628">
        <f>VLOOKUP(D628, Products!$A$2:$F$61, 4, FALSE)</f>
        <v>2237</v>
      </c>
    </row>
    <row r="629" spans="1:14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 t="str">
        <f>VLOOKUP(D629, Products!$A$2:$F$61, 3, FALSE)</f>
        <v>Apparel</v>
      </c>
      <c r="M629" t="str">
        <f>VLOOKUP(E625, Sales_Reps!$A$2:$E$31, 3, FALSE)</f>
        <v>South</v>
      </c>
      <c r="N629">
        <f>VLOOKUP(D629, Products!$A$2:$F$61, 4, FALSE)</f>
        <v>1886</v>
      </c>
    </row>
    <row r="630" spans="1:14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 t="str">
        <f>VLOOKUP(D630, Products!$A$2:$F$61, 3, FALSE)</f>
        <v>Grocery</v>
      </c>
      <c r="M630" t="str">
        <f>VLOOKUP(E626, Sales_Reps!$A$2:$E$31, 3, FALSE)</f>
        <v>North</v>
      </c>
      <c r="N630">
        <f>VLOOKUP(D630, Products!$A$2:$F$61, 4, FALSE)</f>
        <v>1010</v>
      </c>
    </row>
    <row r="631" spans="1:14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 t="str">
        <f>VLOOKUP(D631, Products!$A$2:$F$61, 3, FALSE)</f>
        <v>Apparel</v>
      </c>
      <c r="M631" t="str">
        <f>VLOOKUP(E627, Sales_Reps!$A$2:$E$31, 3, FALSE)</f>
        <v>North</v>
      </c>
      <c r="N631">
        <f>VLOOKUP(D631, Products!$A$2:$F$61, 4, FALSE)</f>
        <v>2629</v>
      </c>
    </row>
    <row r="632" spans="1:14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 t="str">
        <f>VLOOKUP(D632, Products!$A$2:$F$61, 3, FALSE)</f>
        <v>Apparel</v>
      </c>
      <c r="M632" t="str">
        <f>VLOOKUP(E628, Sales_Reps!$A$2:$E$31, 3, FALSE)</f>
        <v>South</v>
      </c>
      <c r="N632">
        <f>VLOOKUP(D632, Products!$A$2:$F$61, 4, FALSE)</f>
        <v>396</v>
      </c>
    </row>
    <row r="633" spans="1:14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 t="str">
        <f>VLOOKUP(D633, Products!$A$2:$F$61, 3, FALSE)</f>
        <v>Grocery</v>
      </c>
      <c r="M633" t="str">
        <f>VLOOKUP(E629, Sales_Reps!$A$2:$E$31, 3, FALSE)</f>
        <v>North</v>
      </c>
      <c r="N633">
        <f>VLOOKUP(D633, Products!$A$2:$F$61, 4, FALSE)</f>
        <v>1435</v>
      </c>
    </row>
    <row r="634" spans="1:14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 t="str">
        <f>VLOOKUP(D634, Products!$A$2:$F$61, 3, FALSE)</f>
        <v>Sports</v>
      </c>
      <c r="M634" t="str">
        <f>VLOOKUP(E630, Sales_Reps!$A$2:$E$31, 3, FALSE)</f>
        <v>South</v>
      </c>
      <c r="N634">
        <f>VLOOKUP(D634, Products!$A$2:$F$61, 4, FALSE)</f>
        <v>516</v>
      </c>
    </row>
    <row r="635" spans="1:14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 t="str">
        <f>VLOOKUP(D635, Products!$A$2:$F$61, 3, FALSE)</f>
        <v>Apparel</v>
      </c>
      <c r="M635" t="str">
        <f>VLOOKUP(E631, Sales_Reps!$A$2:$E$31, 3, FALSE)</f>
        <v>West</v>
      </c>
      <c r="N635">
        <f>VLOOKUP(D635, Products!$A$2:$F$61, 4, FALSE)</f>
        <v>2611</v>
      </c>
    </row>
    <row r="636" spans="1:14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 t="str">
        <f>VLOOKUP(D636, Products!$A$2:$F$61, 3, FALSE)</f>
        <v>Apparel</v>
      </c>
      <c r="M636" t="str">
        <f>VLOOKUP(E632, Sales_Reps!$A$2:$E$31, 3, FALSE)</f>
        <v>South</v>
      </c>
      <c r="N636">
        <f>VLOOKUP(D636, Products!$A$2:$F$61, 4, FALSE)</f>
        <v>391</v>
      </c>
    </row>
    <row r="637" spans="1:14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 t="str">
        <f>VLOOKUP(D637, Products!$A$2:$F$61, 3, FALSE)</f>
        <v>Apparel</v>
      </c>
      <c r="M637" t="str">
        <f>VLOOKUP(E633, Sales_Reps!$A$2:$E$31, 3, FALSE)</f>
        <v>North</v>
      </c>
      <c r="N637">
        <f>VLOOKUP(D637, Products!$A$2:$F$61, 4, FALSE)</f>
        <v>2611</v>
      </c>
    </row>
    <row r="638" spans="1:14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 t="str">
        <f>VLOOKUP(D638, Products!$A$2:$F$61, 3, FALSE)</f>
        <v>Grocery</v>
      </c>
      <c r="M638" t="str">
        <f>VLOOKUP(E634, Sales_Reps!$A$2:$E$31, 3, FALSE)</f>
        <v>North</v>
      </c>
      <c r="N638">
        <f>VLOOKUP(D638, Products!$A$2:$F$61, 4, FALSE)</f>
        <v>1182</v>
      </c>
    </row>
    <row r="639" spans="1:14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 t="str">
        <f>VLOOKUP(D639, Products!$A$2:$F$61, 3, FALSE)</f>
        <v>Home</v>
      </c>
      <c r="M639" t="str">
        <f>VLOOKUP(E635, Sales_Reps!$A$2:$E$31, 3, FALSE)</f>
        <v>North</v>
      </c>
      <c r="N639">
        <f>VLOOKUP(D639, Products!$A$2:$F$61, 4, FALSE)</f>
        <v>329</v>
      </c>
    </row>
    <row r="640" spans="1:14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 t="str">
        <f>VLOOKUP(D640, Products!$A$2:$F$61, 3, FALSE)</f>
        <v>Electronics</v>
      </c>
      <c r="M640" t="str">
        <f>VLOOKUP(E636, Sales_Reps!$A$2:$E$31, 3, FALSE)</f>
        <v>South</v>
      </c>
      <c r="N640">
        <f>VLOOKUP(D640, Products!$A$2:$F$61, 4, FALSE)</f>
        <v>1559</v>
      </c>
    </row>
    <row r="641" spans="1:14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 t="str">
        <f>VLOOKUP(D641, Products!$A$2:$F$61, 3, FALSE)</f>
        <v>Home</v>
      </c>
      <c r="M641" t="str">
        <f>VLOOKUP(E637, Sales_Reps!$A$2:$E$31, 3, FALSE)</f>
        <v>South</v>
      </c>
      <c r="N641">
        <f>VLOOKUP(D641, Products!$A$2:$F$61, 4, FALSE)</f>
        <v>288</v>
      </c>
    </row>
    <row r="642" spans="1:14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 t="str">
        <f>VLOOKUP(D642, Products!$A$2:$F$61, 3, FALSE)</f>
        <v>Apparel</v>
      </c>
      <c r="M642" t="str">
        <f>VLOOKUP(E638, Sales_Reps!$A$2:$E$31, 3, FALSE)</f>
        <v>North</v>
      </c>
      <c r="N642">
        <f>VLOOKUP(D642, Products!$A$2:$F$61, 4, FALSE)</f>
        <v>2509</v>
      </c>
    </row>
    <row r="643" spans="1:14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 t="str">
        <f>VLOOKUP(D643, Products!$A$2:$F$61, 3, FALSE)</f>
        <v>Electronics</v>
      </c>
      <c r="M643" t="str">
        <f>VLOOKUP(E639, Sales_Reps!$A$2:$E$31, 3, FALSE)</f>
        <v>North</v>
      </c>
      <c r="N643">
        <f>VLOOKUP(D643, Products!$A$2:$F$61, 4, FALSE)</f>
        <v>1259</v>
      </c>
    </row>
    <row r="644" spans="1:14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 t="str">
        <f>VLOOKUP(D644, Products!$A$2:$F$61, 3, FALSE)</f>
        <v>Sports</v>
      </c>
      <c r="M644" t="str">
        <f>VLOOKUP(E640, Sales_Reps!$A$2:$E$31, 3, FALSE)</f>
        <v>East</v>
      </c>
      <c r="N644">
        <f>VLOOKUP(D644, Products!$A$2:$F$61, 4, FALSE)</f>
        <v>2467</v>
      </c>
    </row>
    <row r="645" spans="1:14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 t="str">
        <f>VLOOKUP(D645, Products!$A$2:$F$61, 3, FALSE)</f>
        <v>Grocery</v>
      </c>
      <c r="M645" t="str">
        <f>VLOOKUP(E641, Sales_Reps!$A$2:$E$31, 3, FALSE)</f>
        <v>South</v>
      </c>
      <c r="N645">
        <f>VLOOKUP(D645, Products!$A$2:$F$61, 4, FALSE)</f>
        <v>2911</v>
      </c>
    </row>
    <row r="646" spans="1:14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 t="str">
        <f>VLOOKUP(D646, Products!$A$2:$F$61, 3, FALSE)</f>
        <v>Sports</v>
      </c>
      <c r="M646" t="str">
        <f>VLOOKUP(E642, Sales_Reps!$A$2:$E$31, 3, FALSE)</f>
        <v>East</v>
      </c>
      <c r="N646">
        <f>VLOOKUP(D646, Products!$A$2:$F$61, 4, FALSE)</f>
        <v>705</v>
      </c>
    </row>
    <row r="647" spans="1:14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 t="str">
        <f>VLOOKUP(D647, Products!$A$2:$F$61, 3, FALSE)</f>
        <v>Electronics</v>
      </c>
      <c r="M647" t="str">
        <f>VLOOKUP(E643, Sales_Reps!$A$2:$E$31, 3, FALSE)</f>
        <v>North</v>
      </c>
      <c r="N647">
        <f>VLOOKUP(D647, Products!$A$2:$F$61, 4, FALSE)</f>
        <v>1259</v>
      </c>
    </row>
    <row r="648" spans="1:14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 t="str">
        <f>VLOOKUP(D648, Products!$A$2:$F$61, 3, FALSE)</f>
        <v>Grocery</v>
      </c>
      <c r="M648" t="str">
        <f>VLOOKUP(E644, Sales_Reps!$A$2:$E$31, 3, FALSE)</f>
        <v>South</v>
      </c>
      <c r="N648">
        <f>VLOOKUP(D648, Products!$A$2:$F$61, 4, FALSE)</f>
        <v>1203</v>
      </c>
    </row>
    <row r="649" spans="1:14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 t="str">
        <f>VLOOKUP(D649, Products!$A$2:$F$61, 3, FALSE)</f>
        <v>Grocery</v>
      </c>
      <c r="M649" t="str">
        <f>VLOOKUP(E645, Sales_Reps!$A$2:$E$31, 3, FALSE)</f>
        <v>South</v>
      </c>
      <c r="N649">
        <f>VLOOKUP(D649, Products!$A$2:$F$61, 4, FALSE)</f>
        <v>2436</v>
      </c>
    </row>
    <row r="650" spans="1:14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 t="str">
        <f>VLOOKUP(D650, Products!$A$2:$F$61, 3, FALSE)</f>
        <v>Home</v>
      </c>
      <c r="M650" t="str">
        <f>VLOOKUP(E646, Sales_Reps!$A$2:$E$31, 3, FALSE)</f>
        <v>East</v>
      </c>
      <c r="N650">
        <f>VLOOKUP(D650, Products!$A$2:$F$61, 4, FALSE)</f>
        <v>329</v>
      </c>
    </row>
    <row r="651" spans="1:14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 t="str">
        <f>VLOOKUP(D651, Products!$A$2:$F$61, 3, FALSE)</f>
        <v>Home</v>
      </c>
      <c r="M651" t="str">
        <f>VLOOKUP(E647, Sales_Reps!$A$2:$E$31, 3, FALSE)</f>
        <v>North</v>
      </c>
      <c r="N651">
        <f>VLOOKUP(D651, Products!$A$2:$F$61, 4, FALSE)</f>
        <v>2135</v>
      </c>
    </row>
    <row r="652" spans="1:14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 t="str">
        <f>VLOOKUP(D652, Products!$A$2:$F$61, 3, FALSE)</f>
        <v>Grocery</v>
      </c>
      <c r="M652" t="str">
        <f>VLOOKUP(E648, Sales_Reps!$A$2:$E$31, 3, FALSE)</f>
        <v>East</v>
      </c>
      <c r="N652">
        <f>VLOOKUP(D652, Products!$A$2:$F$61, 4, FALSE)</f>
        <v>2911</v>
      </c>
    </row>
    <row r="653" spans="1:14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 t="str">
        <f>VLOOKUP(D653, Products!$A$2:$F$61, 3, FALSE)</f>
        <v>Grocery</v>
      </c>
      <c r="M653" t="str">
        <f>VLOOKUP(E649, Sales_Reps!$A$2:$E$31, 3, FALSE)</f>
        <v>West</v>
      </c>
      <c r="N653">
        <f>VLOOKUP(D653, Products!$A$2:$F$61, 4, FALSE)</f>
        <v>1203</v>
      </c>
    </row>
    <row r="654" spans="1:14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 t="str">
        <f>VLOOKUP(D654, Products!$A$2:$F$61, 3, FALSE)</f>
        <v>Electronics</v>
      </c>
      <c r="M654" t="str">
        <f>VLOOKUP(E650, Sales_Reps!$A$2:$E$31, 3, FALSE)</f>
        <v>East</v>
      </c>
      <c r="N654">
        <f>VLOOKUP(D654, Products!$A$2:$F$61, 4, FALSE)</f>
        <v>1665</v>
      </c>
    </row>
    <row r="655" spans="1:14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 t="str">
        <f>VLOOKUP(D655, Products!$A$2:$F$61, 3, FALSE)</f>
        <v>Grocery</v>
      </c>
      <c r="M655" t="str">
        <f>VLOOKUP(E651, Sales_Reps!$A$2:$E$31, 3, FALSE)</f>
        <v>West</v>
      </c>
      <c r="N655">
        <f>VLOOKUP(D655, Products!$A$2:$F$61, 4, FALSE)</f>
        <v>1010</v>
      </c>
    </row>
    <row r="656" spans="1:14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 t="str">
        <f>VLOOKUP(D656, Products!$A$2:$F$61, 3, FALSE)</f>
        <v>Sports</v>
      </c>
      <c r="M656" t="str">
        <f>VLOOKUP(E652, Sales_Reps!$A$2:$E$31, 3, FALSE)</f>
        <v>East</v>
      </c>
      <c r="N656">
        <f>VLOOKUP(D656, Products!$A$2:$F$61, 4, FALSE)</f>
        <v>705</v>
      </c>
    </row>
    <row r="657" spans="1:14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 t="str">
        <f>VLOOKUP(D657, Products!$A$2:$F$61, 3, FALSE)</f>
        <v>Sports</v>
      </c>
      <c r="M657" t="str">
        <f>VLOOKUP(E653, Sales_Reps!$A$2:$E$31, 3, FALSE)</f>
        <v>North</v>
      </c>
      <c r="N657">
        <f>VLOOKUP(D657, Products!$A$2:$F$61, 4, FALSE)</f>
        <v>1860</v>
      </c>
    </row>
    <row r="658" spans="1:14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 t="str">
        <f>VLOOKUP(D658, Products!$A$2:$F$61, 3, FALSE)</f>
        <v>Beauty</v>
      </c>
      <c r="M658" t="str">
        <f>VLOOKUP(E654, Sales_Reps!$A$2:$E$31, 3, FALSE)</f>
        <v>West</v>
      </c>
      <c r="N658">
        <f>VLOOKUP(D658, Products!$A$2:$F$61, 4, FALSE)</f>
        <v>2237</v>
      </c>
    </row>
    <row r="659" spans="1:14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 t="str">
        <f>VLOOKUP(D659, Products!$A$2:$F$61, 3, FALSE)</f>
        <v>Apparel</v>
      </c>
      <c r="M659" t="str">
        <f>VLOOKUP(E655, Sales_Reps!$A$2:$E$31, 3, FALSE)</f>
        <v>North</v>
      </c>
      <c r="N659">
        <f>VLOOKUP(D659, Products!$A$2:$F$61, 4, FALSE)</f>
        <v>1173</v>
      </c>
    </row>
    <row r="660" spans="1:14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 t="str">
        <f>VLOOKUP(D660, Products!$A$2:$F$61, 3, FALSE)</f>
        <v>Home</v>
      </c>
      <c r="M660" t="str">
        <f>VLOOKUP(E656, Sales_Reps!$A$2:$E$31, 3, FALSE)</f>
        <v>West</v>
      </c>
      <c r="N660">
        <f>VLOOKUP(D660, Products!$A$2:$F$61, 4, FALSE)</f>
        <v>519</v>
      </c>
    </row>
    <row r="661" spans="1:14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 t="str">
        <f>VLOOKUP(D661, Products!$A$2:$F$61, 3, FALSE)</f>
        <v>Electronics</v>
      </c>
      <c r="M661" t="str">
        <f>VLOOKUP(E657, Sales_Reps!$A$2:$E$31, 3, FALSE)</f>
        <v>West</v>
      </c>
      <c r="N661">
        <f>VLOOKUP(D661, Products!$A$2:$F$61, 4, FALSE)</f>
        <v>1052</v>
      </c>
    </row>
    <row r="662" spans="1:14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 t="str">
        <f>VLOOKUP(D662, Products!$A$2:$F$61, 3, FALSE)</f>
        <v>Electronics</v>
      </c>
      <c r="M662" t="str">
        <f>VLOOKUP(E658, Sales_Reps!$A$2:$E$31, 3, FALSE)</f>
        <v>South</v>
      </c>
      <c r="N662">
        <f>VLOOKUP(D662, Products!$A$2:$F$61, 4, FALSE)</f>
        <v>1052</v>
      </c>
    </row>
    <row r="663" spans="1:14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 t="str">
        <f>VLOOKUP(D663, Products!$A$2:$F$61, 3, FALSE)</f>
        <v>Apparel</v>
      </c>
      <c r="M663" t="str">
        <f>VLOOKUP(E659, Sales_Reps!$A$2:$E$31, 3, FALSE)</f>
        <v>East</v>
      </c>
      <c r="N663">
        <f>VLOOKUP(D663, Products!$A$2:$F$61, 4, FALSE)</f>
        <v>391</v>
      </c>
    </row>
    <row r="664" spans="1:14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 t="str">
        <f>VLOOKUP(D664, Products!$A$2:$F$61, 3, FALSE)</f>
        <v>Sports</v>
      </c>
      <c r="M664" t="str">
        <f>VLOOKUP(E660, Sales_Reps!$A$2:$E$31, 3, FALSE)</f>
        <v>East</v>
      </c>
      <c r="N664">
        <f>VLOOKUP(D664, Products!$A$2:$F$61, 4, FALSE)</f>
        <v>705</v>
      </c>
    </row>
    <row r="665" spans="1:14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 t="str">
        <f>VLOOKUP(D665, Products!$A$2:$F$61, 3, FALSE)</f>
        <v>Beauty</v>
      </c>
      <c r="M665" t="str">
        <f>VLOOKUP(E661, Sales_Reps!$A$2:$E$31, 3, FALSE)</f>
        <v>West</v>
      </c>
      <c r="N665">
        <f>VLOOKUP(D665, Products!$A$2:$F$61, 4, FALSE)</f>
        <v>647</v>
      </c>
    </row>
    <row r="666" spans="1:14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 t="str">
        <f>VLOOKUP(D666, Products!$A$2:$F$61, 3, FALSE)</f>
        <v>Sports</v>
      </c>
      <c r="M666" t="str">
        <f>VLOOKUP(E662, Sales_Reps!$A$2:$E$31, 3, FALSE)</f>
        <v>South</v>
      </c>
      <c r="N666">
        <f>VLOOKUP(D666, Products!$A$2:$F$61, 4, FALSE)</f>
        <v>2827</v>
      </c>
    </row>
    <row r="667" spans="1:14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 t="str">
        <f>VLOOKUP(D667, Products!$A$2:$F$61, 3, FALSE)</f>
        <v>Beauty</v>
      </c>
      <c r="M667" t="str">
        <f>VLOOKUP(E663, Sales_Reps!$A$2:$E$31, 3, FALSE)</f>
        <v>East</v>
      </c>
      <c r="N667">
        <f>VLOOKUP(D667, Products!$A$2:$F$61, 4, FALSE)</f>
        <v>647</v>
      </c>
    </row>
    <row r="668" spans="1:14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 t="str">
        <f>VLOOKUP(D668, Products!$A$2:$F$61, 3, FALSE)</f>
        <v>Home</v>
      </c>
      <c r="M668" t="str">
        <f>VLOOKUP(E664, Sales_Reps!$A$2:$E$31, 3, FALSE)</f>
        <v>South</v>
      </c>
      <c r="N668">
        <f>VLOOKUP(D668, Products!$A$2:$F$61, 4, FALSE)</f>
        <v>2135</v>
      </c>
    </row>
    <row r="669" spans="1:14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 t="str">
        <f>VLOOKUP(D669, Products!$A$2:$F$61, 3, FALSE)</f>
        <v>Grocery</v>
      </c>
      <c r="M669" t="str">
        <f>VLOOKUP(E665, Sales_Reps!$A$2:$E$31, 3, FALSE)</f>
        <v>East</v>
      </c>
      <c r="N669">
        <f>VLOOKUP(D669, Products!$A$2:$F$61, 4, FALSE)</f>
        <v>1435</v>
      </c>
    </row>
    <row r="670" spans="1:14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 t="str">
        <f>VLOOKUP(D670, Products!$A$2:$F$61, 3, FALSE)</f>
        <v>Electronics</v>
      </c>
      <c r="M670" t="str">
        <f>VLOOKUP(E666, Sales_Reps!$A$2:$E$31, 3, FALSE)</f>
        <v>West</v>
      </c>
      <c r="N670">
        <f>VLOOKUP(D670, Products!$A$2:$F$61, 4, FALSE)</f>
        <v>2865</v>
      </c>
    </row>
    <row r="671" spans="1:14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 t="str">
        <f>VLOOKUP(D671, Products!$A$2:$F$61, 3, FALSE)</f>
        <v>Grocery</v>
      </c>
      <c r="M671" t="str">
        <f>VLOOKUP(E667, Sales_Reps!$A$2:$E$31, 3, FALSE)</f>
        <v>South</v>
      </c>
      <c r="N671">
        <f>VLOOKUP(D671, Products!$A$2:$F$61, 4, FALSE)</f>
        <v>2436</v>
      </c>
    </row>
    <row r="672" spans="1:14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 t="str">
        <f>VLOOKUP(D672, Products!$A$2:$F$61, 3, FALSE)</f>
        <v>Apparel</v>
      </c>
      <c r="M672" t="str">
        <f>VLOOKUP(E668, Sales_Reps!$A$2:$E$31, 3, FALSE)</f>
        <v>South</v>
      </c>
      <c r="N672">
        <f>VLOOKUP(D672, Products!$A$2:$F$61, 4, FALSE)</f>
        <v>1962</v>
      </c>
    </row>
    <row r="673" spans="1:14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 t="str">
        <f>VLOOKUP(D673, Products!$A$2:$F$61, 3, FALSE)</f>
        <v>Electronics</v>
      </c>
      <c r="M673" t="str">
        <f>VLOOKUP(E669, Sales_Reps!$A$2:$E$31, 3, FALSE)</f>
        <v>East</v>
      </c>
      <c r="N673">
        <f>VLOOKUP(D673, Products!$A$2:$F$61, 4, FALSE)</f>
        <v>2865</v>
      </c>
    </row>
    <row r="674" spans="1:14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 t="str">
        <f>VLOOKUP(D674, Products!$A$2:$F$61, 3, FALSE)</f>
        <v>Apparel</v>
      </c>
      <c r="M674" t="str">
        <f>VLOOKUP(E670, Sales_Reps!$A$2:$E$31, 3, FALSE)</f>
        <v>East</v>
      </c>
      <c r="N674">
        <f>VLOOKUP(D674, Products!$A$2:$F$61, 4, FALSE)</f>
        <v>391</v>
      </c>
    </row>
    <row r="675" spans="1:14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 t="str">
        <f>VLOOKUP(D675, Products!$A$2:$F$61, 3, FALSE)</f>
        <v>Apparel</v>
      </c>
      <c r="M675" t="str">
        <f>VLOOKUP(E671, Sales_Reps!$A$2:$E$31, 3, FALSE)</f>
        <v>East</v>
      </c>
      <c r="N675">
        <f>VLOOKUP(D675, Products!$A$2:$F$61, 4, FALSE)</f>
        <v>396</v>
      </c>
    </row>
    <row r="676" spans="1:14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 t="str">
        <f>VLOOKUP(D676, Products!$A$2:$F$61, 3, FALSE)</f>
        <v>Beauty</v>
      </c>
      <c r="M676" t="str">
        <f>VLOOKUP(E672, Sales_Reps!$A$2:$E$31, 3, FALSE)</f>
        <v>North</v>
      </c>
      <c r="N676">
        <f>VLOOKUP(D676, Products!$A$2:$F$61, 4, FALSE)</f>
        <v>1219</v>
      </c>
    </row>
    <row r="677" spans="1:14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 t="str">
        <f>VLOOKUP(D677, Products!$A$2:$F$61, 3, FALSE)</f>
        <v>Grocery</v>
      </c>
      <c r="M677" t="str">
        <f>VLOOKUP(E673, Sales_Reps!$A$2:$E$31, 3, FALSE)</f>
        <v>East</v>
      </c>
      <c r="N677">
        <f>VLOOKUP(D677, Products!$A$2:$F$61, 4, FALSE)</f>
        <v>434</v>
      </c>
    </row>
    <row r="678" spans="1:14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 t="str">
        <f>VLOOKUP(D678, Products!$A$2:$F$61, 3, FALSE)</f>
        <v>Home</v>
      </c>
      <c r="M678" t="str">
        <f>VLOOKUP(E674, Sales_Reps!$A$2:$E$31, 3, FALSE)</f>
        <v>South</v>
      </c>
      <c r="N678">
        <f>VLOOKUP(D678, Products!$A$2:$F$61, 4, FALSE)</f>
        <v>288</v>
      </c>
    </row>
    <row r="679" spans="1:14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 t="str">
        <f>VLOOKUP(D679, Products!$A$2:$F$61, 3, FALSE)</f>
        <v>Electronics</v>
      </c>
      <c r="M679" t="str">
        <f>VLOOKUP(E675, Sales_Reps!$A$2:$E$31, 3, FALSE)</f>
        <v>South</v>
      </c>
      <c r="N679">
        <f>VLOOKUP(D679, Products!$A$2:$F$61, 4, FALSE)</f>
        <v>861</v>
      </c>
    </row>
    <row r="680" spans="1:14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 t="str">
        <f>VLOOKUP(D680, Products!$A$2:$F$61, 3, FALSE)</f>
        <v>Sports</v>
      </c>
      <c r="M680" t="str">
        <f>VLOOKUP(E676, Sales_Reps!$A$2:$E$31, 3, FALSE)</f>
        <v>West</v>
      </c>
      <c r="N680">
        <f>VLOOKUP(D680, Products!$A$2:$F$61, 4, FALSE)</f>
        <v>974</v>
      </c>
    </row>
    <row r="681" spans="1:14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 t="str">
        <f>VLOOKUP(D681, Products!$A$2:$F$61, 3, FALSE)</f>
        <v>Electronics</v>
      </c>
      <c r="M681" t="str">
        <f>VLOOKUP(E677, Sales_Reps!$A$2:$E$31, 3, FALSE)</f>
        <v>West</v>
      </c>
      <c r="N681">
        <f>VLOOKUP(D681, Products!$A$2:$F$61, 4, FALSE)</f>
        <v>861</v>
      </c>
    </row>
    <row r="682" spans="1:14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 t="str">
        <f>VLOOKUP(D682, Products!$A$2:$F$61, 3, FALSE)</f>
        <v>Apparel</v>
      </c>
      <c r="M682" t="str">
        <f>VLOOKUP(E678, Sales_Reps!$A$2:$E$31, 3, FALSE)</f>
        <v>South</v>
      </c>
      <c r="N682">
        <f>VLOOKUP(D682, Products!$A$2:$F$61, 4, FALSE)</f>
        <v>1962</v>
      </c>
    </row>
    <row r="683" spans="1:14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 t="str">
        <f>VLOOKUP(D683, Products!$A$2:$F$61, 3, FALSE)</f>
        <v>Sports</v>
      </c>
      <c r="M683" t="str">
        <f>VLOOKUP(E679, Sales_Reps!$A$2:$E$31, 3, FALSE)</f>
        <v>North</v>
      </c>
      <c r="N683">
        <f>VLOOKUP(D683, Products!$A$2:$F$61, 4, FALSE)</f>
        <v>2827</v>
      </c>
    </row>
    <row r="684" spans="1:14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 t="str">
        <f>VLOOKUP(D684, Products!$A$2:$F$61, 3, FALSE)</f>
        <v>Apparel</v>
      </c>
      <c r="M684" t="str">
        <f>VLOOKUP(E680, Sales_Reps!$A$2:$E$31, 3, FALSE)</f>
        <v>West</v>
      </c>
      <c r="N684">
        <f>VLOOKUP(D684, Products!$A$2:$F$61, 4, FALSE)</f>
        <v>2509</v>
      </c>
    </row>
    <row r="685" spans="1:14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 t="str">
        <f>VLOOKUP(D685, Products!$A$2:$F$61, 3, FALSE)</f>
        <v>Electronics</v>
      </c>
      <c r="M685" t="str">
        <f>VLOOKUP(E681, Sales_Reps!$A$2:$E$31, 3, FALSE)</f>
        <v>South</v>
      </c>
      <c r="N685">
        <f>VLOOKUP(D685, Products!$A$2:$F$61, 4, FALSE)</f>
        <v>1149</v>
      </c>
    </row>
    <row r="686" spans="1:14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 t="str">
        <f>VLOOKUP(D686, Products!$A$2:$F$61, 3, FALSE)</f>
        <v>Home</v>
      </c>
      <c r="M686" t="str">
        <f>VLOOKUP(E682, Sales_Reps!$A$2:$E$31, 3, FALSE)</f>
        <v>North</v>
      </c>
      <c r="N686">
        <f>VLOOKUP(D686, Products!$A$2:$F$61, 4, FALSE)</f>
        <v>2549</v>
      </c>
    </row>
    <row r="687" spans="1:14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 t="str">
        <f>VLOOKUP(D687, Products!$A$2:$F$61, 3, FALSE)</f>
        <v>Home</v>
      </c>
      <c r="M687" t="str">
        <f>VLOOKUP(E683, Sales_Reps!$A$2:$E$31, 3, FALSE)</f>
        <v>West</v>
      </c>
      <c r="N687">
        <f>VLOOKUP(D687, Products!$A$2:$F$61, 4, FALSE)</f>
        <v>2459</v>
      </c>
    </row>
    <row r="688" spans="1:14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 t="str">
        <f>VLOOKUP(D688, Products!$A$2:$F$61, 3, FALSE)</f>
        <v>Beauty</v>
      </c>
      <c r="M688" t="str">
        <f>VLOOKUP(E684, Sales_Reps!$A$2:$E$31, 3, FALSE)</f>
        <v>North</v>
      </c>
      <c r="N688">
        <f>VLOOKUP(D688, Products!$A$2:$F$61, 4, FALSE)</f>
        <v>1219</v>
      </c>
    </row>
    <row r="689" spans="1:14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 t="str">
        <f>VLOOKUP(D689, Products!$A$2:$F$61, 3, FALSE)</f>
        <v>Home</v>
      </c>
      <c r="M689" t="str">
        <f>VLOOKUP(E685, Sales_Reps!$A$2:$E$31, 3, FALSE)</f>
        <v>West</v>
      </c>
      <c r="N689">
        <f>VLOOKUP(D689, Products!$A$2:$F$61, 4, FALSE)</f>
        <v>1143</v>
      </c>
    </row>
    <row r="690" spans="1:14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 t="str">
        <f>VLOOKUP(D690, Products!$A$2:$F$61, 3, FALSE)</f>
        <v>Electronics</v>
      </c>
      <c r="M690" t="str">
        <f>VLOOKUP(E686, Sales_Reps!$A$2:$E$31, 3, FALSE)</f>
        <v>North</v>
      </c>
      <c r="N690">
        <f>VLOOKUP(D690, Products!$A$2:$F$61, 4, FALSE)</f>
        <v>861</v>
      </c>
    </row>
    <row r="691" spans="1:14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 t="str">
        <f>VLOOKUP(D691, Products!$A$2:$F$61, 3, FALSE)</f>
        <v>Grocery</v>
      </c>
      <c r="M691" t="str">
        <f>VLOOKUP(E687, Sales_Reps!$A$2:$E$31, 3, FALSE)</f>
        <v>East</v>
      </c>
      <c r="N691">
        <f>VLOOKUP(D691, Products!$A$2:$F$61, 4, FALSE)</f>
        <v>2436</v>
      </c>
    </row>
    <row r="692" spans="1:14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 t="str">
        <f>VLOOKUP(D692, Products!$A$2:$F$61, 3, FALSE)</f>
        <v>Apparel</v>
      </c>
      <c r="M692" t="str">
        <f>VLOOKUP(E688, Sales_Reps!$A$2:$E$31, 3, FALSE)</f>
        <v>West</v>
      </c>
      <c r="N692">
        <f>VLOOKUP(D692, Products!$A$2:$F$61, 4, FALSE)</f>
        <v>1886</v>
      </c>
    </row>
    <row r="693" spans="1:14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 t="str">
        <f>VLOOKUP(D693, Products!$A$2:$F$61, 3, FALSE)</f>
        <v>Electronics</v>
      </c>
      <c r="M693" t="str">
        <f>VLOOKUP(E689, Sales_Reps!$A$2:$E$31, 3, FALSE)</f>
        <v>South</v>
      </c>
      <c r="N693">
        <f>VLOOKUP(D693, Products!$A$2:$F$61, 4, FALSE)</f>
        <v>861</v>
      </c>
    </row>
    <row r="694" spans="1:14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 t="str">
        <f>VLOOKUP(D694, Products!$A$2:$F$61, 3, FALSE)</f>
        <v>Apparel</v>
      </c>
      <c r="M694" t="str">
        <f>VLOOKUP(E690, Sales_Reps!$A$2:$E$31, 3, FALSE)</f>
        <v>South</v>
      </c>
      <c r="N694">
        <f>VLOOKUP(D694, Products!$A$2:$F$61, 4, FALSE)</f>
        <v>1886</v>
      </c>
    </row>
    <row r="695" spans="1:14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 t="str">
        <f>VLOOKUP(D695, Products!$A$2:$F$61, 3, FALSE)</f>
        <v>Beauty</v>
      </c>
      <c r="M695" t="str">
        <f>VLOOKUP(E691, Sales_Reps!$A$2:$E$31, 3, FALSE)</f>
        <v>South</v>
      </c>
      <c r="N695">
        <f>VLOOKUP(D695, Products!$A$2:$F$61, 4, FALSE)</f>
        <v>1219</v>
      </c>
    </row>
    <row r="696" spans="1:14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 t="str">
        <f>VLOOKUP(D696, Products!$A$2:$F$61, 3, FALSE)</f>
        <v>Apparel</v>
      </c>
      <c r="M696" t="str">
        <f>VLOOKUP(E692, Sales_Reps!$A$2:$E$31, 3, FALSE)</f>
        <v>East</v>
      </c>
      <c r="N696">
        <f>VLOOKUP(D696, Products!$A$2:$F$61, 4, FALSE)</f>
        <v>1748</v>
      </c>
    </row>
    <row r="697" spans="1:14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 t="str">
        <f>VLOOKUP(D697, Products!$A$2:$F$61, 3, FALSE)</f>
        <v>Apparel</v>
      </c>
      <c r="M697" t="str">
        <f>VLOOKUP(E693, Sales_Reps!$A$2:$E$31, 3, FALSE)</f>
        <v>North</v>
      </c>
      <c r="N697">
        <f>VLOOKUP(D697, Products!$A$2:$F$61, 4, FALSE)</f>
        <v>2629</v>
      </c>
    </row>
    <row r="698" spans="1:14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 t="str">
        <f>VLOOKUP(D698, Products!$A$2:$F$61, 3, FALSE)</f>
        <v>Sports</v>
      </c>
      <c r="M698" t="str">
        <f>VLOOKUP(E694, Sales_Reps!$A$2:$E$31, 3, FALSE)</f>
        <v>North</v>
      </c>
      <c r="N698">
        <f>VLOOKUP(D698, Products!$A$2:$F$61, 4, FALSE)</f>
        <v>974</v>
      </c>
    </row>
    <row r="699" spans="1:14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 t="str">
        <f>VLOOKUP(D699, Products!$A$2:$F$61, 3, FALSE)</f>
        <v>Electronics</v>
      </c>
      <c r="M699" t="str">
        <f>VLOOKUP(E695, Sales_Reps!$A$2:$E$31, 3, FALSE)</f>
        <v>North</v>
      </c>
      <c r="N699">
        <f>VLOOKUP(D699, Products!$A$2:$F$61, 4, FALSE)</f>
        <v>1559</v>
      </c>
    </row>
    <row r="700" spans="1:14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 t="str">
        <f>VLOOKUP(D700, Products!$A$2:$F$61, 3, FALSE)</f>
        <v>Grocery</v>
      </c>
      <c r="M700" t="str">
        <f>VLOOKUP(E696, Sales_Reps!$A$2:$E$31, 3, FALSE)</f>
        <v>South</v>
      </c>
      <c r="N700">
        <f>VLOOKUP(D700, Products!$A$2:$F$61, 4, FALSE)</f>
        <v>2214</v>
      </c>
    </row>
    <row r="701" spans="1:14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 t="str">
        <f>VLOOKUP(D701, Products!$A$2:$F$61, 3, FALSE)</f>
        <v>Home</v>
      </c>
      <c r="M701" t="str">
        <f>VLOOKUP(E697, Sales_Reps!$A$2:$E$31, 3, FALSE)</f>
        <v>North</v>
      </c>
      <c r="N701">
        <f>VLOOKUP(D701, Products!$A$2:$F$61, 4, FALSE)</f>
        <v>519</v>
      </c>
    </row>
    <row r="702" spans="1:14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 t="str">
        <f>VLOOKUP(D702, Products!$A$2:$F$61, 3, FALSE)</f>
        <v>Sports</v>
      </c>
      <c r="M702" t="str">
        <f>VLOOKUP(E698, Sales_Reps!$A$2:$E$31, 3, FALSE)</f>
        <v>South</v>
      </c>
      <c r="N702">
        <f>VLOOKUP(D702, Products!$A$2:$F$61, 4, FALSE)</f>
        <v>1860</v>
      </c>
    </row>
    <row r="703" spans="1:14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 t="str">
        <f>VLOOKUP(D703, Products!$A$2:$F$61, 3, FALSE)</f>
        <v>Apparel</v>
      </c>
      <c r="M703" t="str">
        <f>VLOOKUP(E699, Sales_Reps!$A$2:$E$31, 3, FALSE)</f>
        <v>East</v>
      </c>
      <c r="N703">
        <f>VLOOKUP(D703, Products!$A$2:$F$61, 4, FALSE)</f>
        <v>1173</v>
      </c>
    </row>
    <row r="704" spans="1:14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 t="str">
        <f>VLOOKUP(D704, Products!$A$2:$F$61, 3, FALSE)</f>
        <v>Sports</v>
      </c>
      <c r="M704" t="str">
        <f>VLOOKUP(E700, Sales_Reps!$A$2:$E$31, 3, FALSE)</f>
        <v>East</v>
      </c>
      <c r="N704">
        <f>VLOOKUP(D704, Products!$A$2:$F$61, 4, FALSE)</f>
        <v>516</v>
      </c>
    </row>
    <row r="705" spans="1:14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 t="str">
        <f>VLOOKUP(D705, Products!$A$2:$F$61, 3, FALSE)</f>
        <v>Sports</v>
      </c>
      <c r="M705" t="str">
        <f>VLOOKUP(E701, Sales_Reps!$A$2:$E$31, 3, FALSE)</f>
        <v>West</v>
      </c>
      <c r="N705">
        <f>VLOOKUP(D705, Products!$A$2:$F$61, 4, FALSE)</f>
        <v>302</v>
      </c>
    </row>
    <row r="706" spans="1:14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 t="str">
        <f>VLOOKUP(D706, Products!$A$2:$F$61, 3, FALSE)</f>
        <v>Grocery</v>
      </c>
      <c r="M706" t="str">
        <f>VLOOKUP(E702, Sales_Reps!$A$2:$E$31, 3, FALSE)</f>
        <v>North</v>
      </c>
      <c r="N706">
        <f>VLOOKUP(D706, Products!$A$2:$F$61, 4, FALSE)</f>
        <v>1203</v>
      </c>
    </row>
    <row r="707" spans="1:14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 t="str">
        <f>VLOOKUP(D707, Products!$A$2:$F$61, 3, FALSE)</f>
        <v>Grocery</v>
      </c>
      <c r="M707" t="str">
        <f>VLOOKUP(E703, Sales_Reps!$A$2:$E$31, 3, FALSE)</f>
        <v>East</v>
      </c>
      <c r="N707">
        <f>VLOOKUP(D707, Products!$A$2:$F$61, 4, FALSE)</f>
        <v>1435</v>
      </c>
    </row>
    <row r="708" spans="1:14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 t="str">
        <f>VLOOKUP(D708, Products!$A$2:$F$61, 3, FALSE)</f>
        <v>Sports</v>
      </c>
      <c r="M708" t="str">
        <f>VLOOKUP(E704, Sales_Reps!$A$2:$E$31, 3, FALSE)</f>
        <v>South</v>
      </c>
      <c r="N708">
        <f>VLOOKUP(D708, Products!$A$2:$F$61, 4, FALSE)</f>
        <v>2467</v>
      </c>
    </row>
    <row r="709" spans="1:14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 t="str">
        <f>VLOOKUP(D709, Products!$A$2:$F$61, 3, FALSE)</f>
        <v>Grocery</v>
      </c>
      <c r="M709" t="str">
        <f>VLOOKUP(E705, Sales_Reps!$A$2:$E$31, 3, FALSE)</f>
        <v>South</v>
      </c>
      <c r="N709">
        <f>VLOOKUP(D709, Products!$A$2:$F$61, 4, FALSE)</f>
        <v>2214</v>
      </c>
    </row>
    <row r="710" spans="1:14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 t="str">
        <f>VLOOKUP(D710, Products!$A$2:$F$61, 3, FALSE)</f>
        <v>Electronics</v>
      </c>
      <c r="M710" t="str">
        <f>VLOOKUP(E706, Sales_Reps!$A$2:$E$31, 3, FALSE)</f>
        <v>East</v>
      </c>
      <c r="N710">
        <f>VLOOKUP(D710, Products!$A$2:$F$61, 4, FALSE)</f>
        <v>517</v>
      </c>
    </row>
    <row r="711" spans="1:14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 t="str">
        <f>VLOOKUP(D711, Products!$A$2:$F$61, 3, FALSE)</f>
        <v>Sports</v>
      </c>
      <c r="M711" t="str">
        <f>VLOOKUP(E707, Sales_Reps!$A$2:$E$31, 3, FALSE)</f>
        <v>South</v>
      </c>
      <c r="N711">
        <f>VLOOKUP(D711, Products!$A$2:$F$61, 4, FALSE)</f>
        <v>2265</v>
      </c>
    </row>
    <row r="712" spans="1:14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 t="str">
        <f>VLOOKUP(D712, Products!$A$2:$F$61, 3, FALSE)</f>
        <v>Home</v>
      </c>
      <c r="M712" t="str">
        <f>VLOOKUP(E708, Sales_Reps!$A$2:$E$31, 3, FALSE)</f>
        <v>North</v>
      </c>
      <c r="N712">
        <f>VLOOKUP(D712, Products!$A$2:$F$61, 4, FALSE)</f>
        <v>1143</v>
      </c>
    </row>
    <row r="713" spans="1:14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 t="str">
        <f>VLOOKUP(D713, Products!$A$2:$F$61, 3, FALSE)</f>
        <v>Electronics</v>
      </c>
      <c r="M713" t="str">
        <f>VLOOKUP(E709, Sales_Reps!$A$2:$E$31, 3, FALSE)</f>
        <v>North</v>
      </c>
      <c r="N713">
        <f>VLOOKUP(D713, Products!$A$2:$F$61, 4, FALSE)</f>
        <v>517</v>
      </c>
    </row>
    <row r="714" spans="1:14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 t="str">
        <f>VLOOKUP(D714, Products!$A$2:$F$61, 3, FALSE)</f>
        <v>Electronics</v>
      </c>
      <c r="M714" t="str">
        <f>VLOOKUP(E710, Sales_Reps!$A$2:$E$31, 3, FALSE)</f>
        <v>West</v>
      </c>
      <c r="N714">
        <f>VLOOKUP(D714, Products!$A$2:$F$61, 4, FALSE)</f>
        <v>1259</v>
      </c>
    </row>
    <row r="715" spans="1:14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 t="str">
        <f>VLOOKUP(D715, Products!$A$2:$F$61, 3, FALSE)</f>
        <v>Grocery</v>
      </c>
      <c r="M715" t="str">
        <f>VLOOKUP(E711, Sales_Reps!$A$2:$E$31, 3, FALSE)</f>
        <v>North</v>
      </c>
      <c r="N715">
        <f>VLOOKUP(D715, Products!$A$2:$F$61, 4, FALSE)</f>
        <v>2027</v>
      </c>
    </row>
    <row r="716" spans="1:14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 t="str">
        <f>VLOOKUP(D716, Products!$A$2:$F$61, 3, FALSE)</f>
        <v>Beauty</v>
      </c>
      <c r="M716" t="str">
        <f>VLOOKUP(E712, Sales_Reps!$A$2:$E$31, 3, FALSE)</f>
        <v>South</v>
      </c>
      <c r="N716">
        <f>VLOOKUP(D716, Products!$A$2:$F$61, 4, FALSE)</f>
        <v>675</v>
      </c>
    </row>
    <row r="717" spans="1:14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 t="str">
        <f>VLOOKUP(D717, Products!$A$2:$F$61, 3, FALSE)</f>
        <v>Home</v>
      </c>
      <c r="M717" t="str">
        <f>VLOOKUP(E713, Sales_Reps!$A$2:$E$31, 3, FALSE)</f>
        <v>South</v>
      </c>
      <c r="N717">
        <f>VLOOKUP(D717, Products!$A$2:$F$61, 4, FALSE)</f>
        <v>2135</v>
      </c>
    </row>
    <row r="718" spans="1:14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 t="str">
        <f>VLOOKUP(D718, Products!$A$2:$F$61, 3, FALSE)</f>
        <v>Sports</v>
      </c>
      <c r="M718" t="str">
        <f>VLOOKUP(E714, Sales_Reps!$A$2:$E$31, 3, FALSE)</f>
        <v>North</v>
      </c>
      <c r="N718">
        <f>VLOOKUP(D718, Products!$A$2:$F$61, 4, FALSE)</f>
        <v>705</v>
      </c>
    </row>
    <row r="719" spans="1:14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 t="str">
        <f>VLOOKUP(D719, Products!$A$2:$F$61, 3, FALSE)</f>
        <v>Apparel</v>
      </c>
      <c r="M719" t="str">
        <f>VLOOKUP(E715, Sales_Reps!$A$2:$E$31, 3, FALSE)</f>
        <v>South</v>
      </c>
      <c r="N719">
        <f>VLOOKUP(D719, Products!$A$2:$F$61, 4, FALSE)</f>
        <v>1748</v>
      </c>
    </row>
    <row r="720" spans="1:14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 t="str">
        <f>VLOOKUP(D720, Products!$A$2:$F$61, 3, FALSE)</f>
        <v>Sports</v>
      </c>
      <c r="M720" t="str">
        <f>VLOOKUP(E716, Sales_Reps!$A$2:$E$31, 3, FALSE)</f>
        <v>South</v>
      </c>
      <c r="N720">
        <f>VLOOKUP(D720, Products!$A$2:$F$61, 4, FALSE)</f>
        <v>2265</v>
      </c>
    </row>
    <row r="721" spans="1:14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 t="str">
        <f>VLOOKUP(D721, Products!$A$2:$F$61, 3, FALSE)</f>
        <v>Beauty</v>
      </c>
      <c r="M721" t="str">
        <f>VLOOKUP(E717, Sales_Reps!$A$2:$E$31, 3, FALSE)</f>
        <v>West</v>
      </c>
      <c r="N721">
        <f>VLOOKUP(D721, Products!$A$2:$F$61, 4, FALSE)</f>
        <v>1728</v>
      </c>
    </row>
    <row r="722" spans="1:14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 t="str">
        <f>VLOOKUP(D722, Products!$A$2:$F$61, 3, FALSE)</f>
        <v>Apparel</v>
      </c>
      <c r="M722" t="str">
        <f>VLOOKUP(E718, Sales_Reps!$A$2:$E$31, 3, FALSE)</f>
        <v>North</v>
      </c>
      <c r="N722">
        <f>VLOOKUP(D722, Products!$A$2:$F$61, 4, FALSE)</f>
        <v>1962</v>
      </c>
    </row>
    <row r="723" spans="1:14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 t="str">
        <f>VLOOKUP(D723, Products!$A$2:$F$61, 3, FALSE)</f>
        <v>Grocery</v>
      </c>
      <c r="M723" t="str">
        <f>VLOOKUP(E719, Sales_Reps!$A$2:$E$31, 3, FALSE)</f>
        <v>North</v>
      </c>
      <c r="N723">
        <f>VLOOKUP(D723, Products!$A$2:$F$61, 4, FALSE)</f>
        <v>2214</v>
      </c>
    </row>
    <row r="724" spans="1:14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 t="str">
        <f>VLOOKUP(D724, Products!$A$2:$F$61, 3, FALSE)</f>
        <v>Electronics</v>
      </c>
      <c r="M724" t="str">
        <f>VLOOKUP(E720, Sales_Reps!$A$2:$E$31, 3, FALSE)</f>
        <v>South</v>
      </c>
      <c r="N724">
        <f>VLOOKUP(D724, Products!$A$2:$F$61, 4, FALSE)</f>
        <v>128</v>
      </c>
    </row>
    <row r="725" spans="1:14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 t="str">
        <f>VLOOKUP(D725, Products!$A$2:$F$61, 3, FALSE)</f>
        <v>Beauty</v>
      </c>
      <c r="M725" t="str">
        <f>VLOOKUP(E721, Sales_Reps!$A$2:$E$31, 3, FALSE)</f>
        <v>East</v>
      </c>
      <c r="N725">
        <f>VLOOKUP(D725, Products!$A$2:$F$61, 4, FALSE)</f>
        <v>1219</v>
      </c>
    </row>
    <row r="726" spans="1:14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 t="str">
        <f>VLOOKUP(D726, Products!$A$2:$F$61, 3, FALSE)</f>
        <v>Beauty</v>
      </c>
      <c r="M726" t="str">
        <f>VLOOKUP(E722, Sales_Reps!$A$2:$E$31, 3, FALSE)</f>
        <v>North</v>
      </c>
      <c r="N726">
        <f>VLOOKUP(D726, Products!$A$2:$F$61, 4, FALSE)</f>
        <v>2768</v>
      </c>
    </row>
    <row r="727" spans="1:14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 t="str">
        <f>VLOOKUP(D727, Products!$A$2:$F$61, 3, FALSE)</f>
        <v>Electronics</v>
      </c>
      <c r="M727" t="str">
        <f>VLOOKUP(E723, Sales_Reps!$A$2:$E$31, 3, FALSE)</f>
        <v>East</v>
      </c>
      <c r="N727">
        <f>VLOOKUP(D727, Products!$A$2:$F$61, 4, FALSE)</f>
        <v>128</v>
      </c>
    </row>
    <row r="728" spans="1:14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 t="str">
        <f>VLOOKUP(D728, Products!$A$2:$F$61, 3, FALSE)</f>
        <v>Electronics</v>
      </c>
      <c r="M728" t="str">
        <f>VLOOKUP(E724, Sales_Reps!$A$2:$E$31, 3, FALSE)</f>
        <v>South</v>
      </c>
      <c r="N728">
        <f>VLOOKUP(D728, Products!$A$2:$F$61, 4, FALSE)</f>
        <v>1259</v>
      </c>
    </row>
    <row r="729" spans="1:14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 t="str">
        <f>VLOOKUP(D729, Products!$A$2:$F$61, 3, FALSE)</f>
        <v>Home</v>
      </c>
      <c r="M729" t="str">
        <f>VLOOKUP(E725, Sales_Reps!$A$2:$E$31, 3, FALSE)</f>
        <v>West</v>
      </c>
      <c r="N729">
        <f>VLOOKUP(D729, Products!$A$2:$F$61, 4, FALSE)</f>
        <v>464</v>
      </c>
    </row>
    <row r="730" spans="1:14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 t="str">
        <f>VLOOKUP(D730, Products!$A$2:$F$61, 3, FALSE)</f>
        <v>Electronics</v>
      </c>
      <c r="M730" t="str">
        <f>VLOOKUP(E726, Sales_Reps!$A$2:$E$31, 3, FALSE)</f>
        <v>South</v>
      </c>
      <c r="N730">
        <f>VLOOKUP(D730, Products!$A$2:$F$61, 4, FALSE)</f>
        <v>861</v>
      </c>
    </row>
    <row r="731" spans="1:14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 t="str">
        <f>VLOOKUP(D731, Products!$A$2:$F$61, 3, FALSE)</f>
        <v>Electronics</v>
      </c>
      <c r="M731" t="str">
        <f>VLOOKUP(E727, Sales_Reps!$A$2:$E$31, 3, FALSE)</f>
        <v>North</v>
      </c>
      <c r="N731">
        <f>VLOOKUP(D731, Products!$A$2:$F$61, 4, FALSE)</f>
        <v>1149</v>
      </c>
    </row>
    <row r="732" spans="1:14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 t="str">
        <f>VLOOKUP(D732, Products!$A$2:$F$61, 3, FALSE)</f>
        <v>Apparel</v>
      </c>
      <c r="M732" t="str">
        <f>VLOOKUP(E728, Sales_Reps!$A$2:$E$31, 3, FALSE)</f>
        <v>West</v>
      </c>
      <c r="N732">
        <f>VLOOKUP(D732, Products!$A$2:$F$61, 4, FALSE)</f>
        <v>1962</v>
      </c>
    </row>
    <row r="733" spans="1:14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 t="str">
        <f>VLOOKUP(D733, Products!$A$2:$F$61, 3, FALSE)</f>
        <v>Apparel</v>
      </c>
      <c r="M733" t="str">
        <f>VLOOKUP(E729, Sales_Reps!$A$2:$E$31, 3, FALSE)</f>
        <v>West</v>
      </c>
      <c r="N733">
        <f>VLOOKUP(D733, Products!$A$2:$F$61, 4, FALSE)</f>
        <v>2611</v>
      </c>
    </row>
    <row r="734" spans="1:14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 t="str">
        <f>VLOOKUP(D734, Products!$A$2:$F$61, 3, FALSE)</f>
        <v>Beauty</v>
      </c>
      <c r="M734" t="str">
        <f>VLOOKUP(E730, Sales_Reps!$A$2:$E$31, 3, FALSE)</f>
        <v>South</v>
      </c>
      <c r="N734">
        <f>VLOOKUP(D734, Products!$A$2:$F$61, 4, FALSE)</f>
        <v>2617</v>
      </c>
    </row>
    <row r="735" spans="1:14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 t="str">
        <f>VLOOKUP(D735, Products!$A$2:$F$61, 3, FALSE)</f>
        <v>Electronics</v>
      </c>
      <c r="M735" t="str">
        <f>VLOOKUP(E731, Sales_Reps!$A$2:$E$31, 3, FALSE)</f>
        <v>North</v>
      </c>
      <c r="N735">
        <f>VLOOKUP(D735, Products!$A$2:$F$61, 4, FALSE)</f>
        <v>2405</v>
      </c>
    </row>
    <row r="736" spans="1:14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 t="str">
        <f>VLOOKUP(D736, Products!$A$2:$F$61, 3, FALSE)</f>
        <v>Home</v>
      </c>
      <c r="M736" t="str">
        <f>VLOOKUP(E732, Sales_Reps!$A$2:$E$31, 3, FALSE)</f>
        <v>North</v>
      </c>
      <c r="N736">
        <f>VLOOKUP(D736, Products!$A$2:$F$61, 4, FALSE)</f>
        <v>1850</v>
      </c>
    </row>
    <row r="737" spans="1:14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 t="str">
        <f>VLOOKUP(D737, Products!$A$2:$F$61, 3, FALSE)</f>
        <v>Electronics</v>
      </c>
      <c r="M737" t="str">
        <f>VLOOKUP(E733, Sales_Reps!$A$2:$E$31, 3, FALSE)</f>
        <v>South</v>
      </c>
      <c r="N737">
        <f>VLOOKUP(D737, Products!$A$2:$F$61, 4, FALSE)</f>
        <v>2405</v>
      </c>
    </row>
    <row r="738" spans="1:14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 t="str">
        <f>VLOOKUP(D738, Products!$A$2:$F$61, 3, FALSE)</f>
        <v>Beauty</v>
      </c>
      <c r="M738" t="str">
        <f>VLOOKUP(E734, Sales_Reps!$A$2:$E$31, 3, FALSE)</f>
        <v>East</v>
      </c>
      <c r="N738">
        <f>VLOOKUP(D738, Products!$A$2:$F$61, 4, FALSE)</f>
        <v>2617</v>
      </c>
    </row>
    <row r="739" spans="1:14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 t="str">
        <f>VLOOKUP(D739, Products!$A$2:$F$61, 3, FALSE)</f>
        <v>Apparel</v>
      </c>
      <c r="M739" t="str">
        <f>VLOOKUP(E735, Sales_Reps!$A$2:$E$31, 3, FALSE)</f>
        <v>South</v>
      </c>
      <c r="N739">
        <f>VLOOKUP(D739, Products!$A$2:$F$61, 4, FALSE)</f>
        <v>2611</v>
      </c>
    </row>
    <row r="740" spans="1:14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 t="str">
        <f>VLOOKUP(D740, Products!$A$2:$F$61, 3, FALSE)</f>
        <v>Electronics</v>
      </c>
      <c r="M740" t="str">
        <f>VLOOKUP(E736, Sales_Reps!$A$2:$E$31, 3, FALSE)</f>
        <v>West</v>
      </c>
      <c r="N740">
        <f>VLOOKUP(D740, Products!$A$2:$F$61, 4, FALSE)</f>
        <v>1259</v>
      </c>
    </row>
    <row r="741" spans="1:14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 t="str">
        <f>VLOOKUP(D741, Products!$A$2:$F$61, 3, FALSE)</f>
        <v>Beauty</v>
      </c>
      <c r="M741" t="str">
        <f>VLOOKUP(E737, Sales_Reps!$A$2:$E$31, 3, FALSE)</f>
        <v>West</v>
      </c>
      <c r="N741">
        <f>VLOOKUP(D741, Products!$A$2:$F$61, 4, FALSE)</f>
        <v>1728</v>
      </c>
    </row>
    <row r="742" spans="1:14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 t="str">
        <f>VLOOKUP(D742, Products!$A$2:$F$61, 3, FALSE)</f>
        <v>Home</v>
      </c>
      <c r="M742" t="str">
        <f>VLOOKUP(E738, Sales_Reps!$A$2:$E$31, 3, FALSE)</f>
        <v>East</v>
      </c>
      <c r="N742">
        <f>VLOOKUP(D742, Products!$A$2:$F$61, 4, FALSE)</f>
        <v>1850</v>
      </c>
    </row>
    <row r="743" spans="1:14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 t="str">
        <f>VLOOKUP(D743, Products!$A$2:$F$61, 3, FALSE)</f>
        <v>Sports</v>
      </c>
      <c r="M743" t="str">
        <f>VLOOKUP(E739, Sales_Reps!$A$2:$E$31, 3, FALSE)</f>
        <v>East</v>
      </c>
      <c r="N743">
        <f>VLOOKUP(D743, Products!$A$2:$F$61, 4, FALSE)</f>
        <v>2028</v>
      </c>
    </row>
    <row r="744" spans="1:14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 t="str">
        <f>VLOOKUP(D744, Products!$A$2:$F$61, 3, FALSE)</f>
        <v>Beauty</v>
      </c>
      <c r="M744" t="str">
        <f>VLOOKUP(E740, Sales_Reps!$A$2:$E$31, 3, FALSE)</f>
        <v>South</v>
      </c>
      <c r="N744">
        <f>VLOOKUP(D744, Products!$A$2:$F$61, 4, FALSE)</f>
        <v>1728</v>
      </c>
    </row>
    <row r="745" spans="1:14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 t="str">
        <f>VLOOKUP(D745, Products!$A$2:$F$61, 3, FALSE)</f>
        <v>Grocery</v>
      </c>
      <c r="M745" t="str">
        <f>VLOOKUP(E741, Sales_Reps!$A$2:$E$31, 3, FALSE)</f>
        <v>South</v>
      </c>
      <c r="N745">
        <f>VLOOKUP(D745, Products!$A$2:$F$61, 4, FALSE)</f>
        <v>1010</v>
      </c>
    </row>
    <row r="746" spans="1:14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 t="str">
        <f>VLOOKUP(D746, Products!$A$2:$F$61, 3, FALSE)</f>
        <v>Beauty</v>
      </c>
      <c r="M746" t="str">
        <f>VLOOKUP(E742, Sales_Reps!$A$2:$E$31, 3, FALSE)</f>
        <v>East</v>
      </c>
      <c r="N746">
        <f>VLOOKUP(D746, Products!$A$2:$F$61, 4, FALSE)</f>
        <v>2420</v>
      </c>
    </row>
    <row r="747" spans="1:14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 t="str">
        <f>VLOOKUP(D747, Products!$A$2:$F$61, 3, FALSE)</f>
        <v>Beauty</v>
      </c>
      <c r="M747" t="str">
        <f>VLOOKUP(E743, Sales_Reps!$A$2:$E$31, 3, FALSE)</f>
        <v>South</v>
      </c>
      <c r="N747">
        <f>VLOOKUP(D747, Products!$A$2:$F$61, 4, FALSE)</f>
        <v>2237</v>
      </c>
    </row>
    <row r="748" spans="1:14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 t="str">
        <f>VLOOKUP(D748, Products!$A$2:$F$61, 3, FALSE)</f>
        <v>Beauty</v>
      </c>
      <c r="M748" t="str">
        <f>VLOOKUP(E744, Sales_Reps!$A$2:$E$31, 3, FALSE)</f>
        <v>South</v>
      </c>
      <c r="N748">
        <f>VLOOKUP(D748, Products!$A$2:$F$61, 4, FALSE)</f>
        <v>2237</v>
      </c>
    </row>
    <row r="749" spans="1:14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 t="str">
        <f>VLOOKUP(D749, Products!$A$2:$F$61, 3, FALSE)</f>
        <v>Home</v>
      </c>
      <c r="M749" t="str">
        <f>VLOOKUP(E745, Sales_Reps!$A$2:$E$31, 3, FALSE)</f>
        <v>West</v>
      </c>
      <c r="N749">
        <f>VLOOKUP(D749, Products!$A$2:$F$61, 4, FALSE)</f>
        <v>329</v>
      </c>
    </row>
    <row r="750" spans="1:14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 t="str">
        <f>VLOOKUP(D750, Products!$A$2:$F$61, 3, FALSE)</f>
        <v>Grocery</v>
      </c>
      <c r="M750" t="str">
        <f>VLOOKUP(E746, Sales_Reps!$A$2:$E$31, 3, FALSE)</f>
        <v>South</v>
      </c>
      <c r="N750">
        <f>VLOOKUP(D750, Products!$A$2:$F$61, 4, FALSE)</f>
        <v>2027</v>
      </c>
    </row>
    <row r="751" spans="1:14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 t="str">
        <f>VLOOKUP(D751, Products!$A$2:$F$61, 3, FALSE)</f>
        <v>Apparel</v>
      </c>
      <c r="M751" t="str">
        <f>VLOOKUP(E747, Sales_Reps!$A$2:$E$31, 3, FALSE)</f>
        <v>West</v>
      </c>
      <c r="N751">
        <f>VLOOKUP(D751, Products!$A$2:$F$61, 4, FALSE)</f>
        <v>1075</v>
      </c>
    </row>
    <row r="752" spans="1:14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 t="str">
        <f>VLOOKUP(D752, Products!$A$2:$F$61, 3, FALSE)</f>
        <v>Home</v>
      </c>
      <c r="M752" t="str">
        <f>VLOOKUP(E748, Sales_Reps!$A$2:$E$31, 3, FALSE)</f>
        <v>North</v>
      </c>
      <c r="N752">
        <f>VLOOKUP(D752, Products!$A$2:$F$61, 4, FALSE)</f>
        <v>1556</v>
      </c>
    </row>
    <row r="753" spans="1:14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 t="str">
        <f>VLOOKUP(D753, Products!$A$2:$F$61, 3, FALSE)</f>
        <v>Home</v>
      </c>
      <c r="M753" t="str">
        <f>VLOOKUP(E749, Sales_Reps!$A$2:$E$31, 3, FALSE)</f>
        <v>North</v>
      </c>
      <c r="N753">
        <f>VLOOKUP(D753, Products!$A$2:$F$61, 4, FALSE)</f>
        <v>288</v>
      </c>
    </row>
    <row r="754" spans="1:14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 t="str">
        <f>VLOOKUP(D754, Products!$A$2:$F$61, 3, FALSE)</f>
        <v>Apparel</v>
      </c>
      <c r="M754" t="str">
        <f>VLOOKUP(E750, Sales_Reps!$A$2:$E$31, 3, FALSE)</f>
        <v>North</v>
      </c>
      <c r="N754">
        <f>VLOOKUP(D754, Products!$A$2:$F$61, 4, FALSE)</f>
        <v>391</v>
      </c>
    </row>
    <row r="755" spans="1:14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 t="str">
        <f>VLOOKUP(D755, Products!$A$2:$F$61, 3, FALSE)</f>
        <v>Grocery</v>
      </c>
      <c r="M755" t="str">
        <f>VLOOKUP(E751, Sales_Reps!$A$2:$E$31, 3, FALSE)</f>
        <v>North</v>
      </c>
      <c r="N755">
        <f>VLOOKUP(D755, Products!$A$2:$F$61, 4, FALSE)</f>
        <v>2027</v>
      </c>
    </row>
    <row r="756" spans="1:14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 t="str">
        <f>VLOOKUP(D756, Products!$A$2:$F$61, 3, FALSE)</f>
        <v>Grocery</v>
      </c>
      <c r="M756" t="str">
        <f>VLOOKUP(E752, Sales_Reps!$A$2:$E$31, 3, FALSE)</f>
        <v>West</v>
      </c>
      <c r="N756">
        <f>VLOOKUP(D756, Products!$A$2:$F$61, 4, FALSE)</f>
        <v>1182</v>
      </c>
    </row>
    <row r="757" spans="1:14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 t="str">
        <f>VLOOKUP(D757, Products!$A$2:$F$61, 3, FALSE)</f>
        <v>Home</v>
      </c>
      <c r="M757" t="str">
        <f>VLOOKUP(E753, Sales_Reps!$A$2:$E$31, 3, FALSE)</f>
        <v>North</v>
      </c>
      <c r="N757">
        <f>VLOOKUP(D757, Products!$A$2:$F$61, 4, FALSE)</f>
        <v>2549</v>
      </c>
    </row>
    <row r="758" spans="1:14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 t="str">
        <f>VLOOKUP(D758, Products!$A$2:$F$61, 3, FALSE)</f>
        <v>Apparel</v>
      </c>
      <c r="M758" t="str">
        <f>VLOOKUP(E754, Sales_Reps!$A$2:$E$31, 3, FALSE)</f>
        <v>North</v>
      </c>
      <c r="N758">
        <f>VLOOKUP(D758, Products!$A$2:$F$61, 4, FALSE)</f>
        <v>2611</v>
      </c>
    </row>
    <row r="759" spans="1:14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 t="str">
        <f>VLOOKUP(D759, Products!$A$2:$F$61, 3, FALSE)</f>
        <v>Home</v>
      </c>
      <c r="M759" t="str">
        <f>VLOOKUP(E755, Sales_Reps!$A$2:$E$31, 3, FALSE)</f>
        <v>West</v>
      </c>
      <c r="N759">
        <f>VLOOKUP(D759, Products!$A$2:$F$61, 4, FALSE)</f>
        <v>1850</v>
      </c>
    </row>
    <row r="760" spans="1:14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 t="str">
        <f>VLOOKUP(D760, Products!$A$2:$F$61, 3, FALSE)</f>
        <v>Sports</v>
      </c>
      <c r="M760" t="str">
        <f>VLOOKUP(E756, Sales_Reps!$A$2:$E$31, 3, FALSE)</f>
        <v>South</v>
      </c>
      <c r="N760">
        <f>VLOOKUP(D760, Products!$A$2:$F$61, 4, FALSE)</f>
        <v>974</v>
      </c>
    </row>
    <row r="761" spans="1:14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 t="str">
        <f>VLOOKUP(D761, Products!$A$2:$F$61, 3, FALSE)</f>
        <v>Beauty</v>
      </c>
      <c r="M761" t="str">
        <f>VLOOKUP(E757, Sales_Reps!$A$2:$E$31, 3, FALSE)</f>
        <v>West</v>
      </c>
      <c r="N761">
        <f>VLOOKUP(D761, Products!$A$2:$F$61, 4, FALSE)</f>
        <v>1728</v>
      </c>
    </row>
    <row r="762" spans="1:14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 t="str">
        <f>VLOOKUP(D762, Products!$A$2:$F$61, 3, FALSE)</f>
        <v>Apparel</v>
      </c>
      <c r="M762" t="str">
        <f>VLOOKUP(E758, Sales_Reps!$A$2:$E$31, 3, FALSE)</f>
        <v>West</v>
      </c>
      <c r="N762">
        <f>VLOOKUP(D762, Products!$A$2:$F$61, 4, FALSE)</f>
        <v>2611</v>
      </c>
    </row>
    <row r="763" spans="1:14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 t="str">
        <f>VLOOKUP(D763, Products!$A$2:$F$61, 3, FALSE)</f>
        <v>Apparel</v>
      </c>
      <c r="M763" t="str">
        <f>VLOOKUP(E759, Sales_Reps!$A$2:$E$31, 3, FALSE)</f>
        <v>East</v>
      </c>
      <c r="N763">
        <f>VLOOKUP(D763, Products!$A$2:$F$61, 4, FALSE)</f>
        <v>2611</v>
      </c>
    </row>
    <row r="764" spans="1:14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 t="str">
        <f>VLOOKUP(D764, Products!$A$2:$F$61, 3, FALSE)</f>
        <v>Home</v>
      </c>
      <c r="M764" t="str">
        <f>VLOOKUP(E760, Sales_Reps!$A$2:$E$31, 3, FALSE)</f>
        <v>North</v>
      </c>
      <c r="N764">
        <f>VLOOKUP(D764, Products!$A$2:$F$61, 4, FALSE)</f>
        <v>1143</v>
      </c>
    </row>
    <row r="765" spans="1:14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 t="str">
        <f>VLOOKUP(D765, Products!$A$2:$F$61, 3, FALSE)</f>
        <v>Apparel</v>
      </c>
      <c r="M765" t="str">
        <f>VLOOKUP(E761, Sales_Reps!$A$2:$E$31, 3, FALSE)</f>
        <v>North</v>
      </c>
      <c r="N765">
        <f>VLOOKUP(D765, Products!$A$2:$F$61, 4, FALSE)</f>
        <v>1886</v>
      </c>
    </row>
    <row r="766" spans="1:14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 t="str">
        <f>VLOOKUP(D766, Products!$A$2:$F$61, 3, FALSE)</f>
        <v>Grocery</v>
      </c>
      <c r="M766" t="str">
        <f>VLOOKUP(E762, Sales_Reps!$A$2:$E$31, 3, FALSE)</f>
        <v>South</v>
      </c>
      <c r="N766">
        <f>VLOOKUP(D766, Products!$A$2:$F$61, 4, FALSE)</f>
        <v>2027</v>
      </c>
    </row>
    <row r="767" spans="1:14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 t="str">
        <f>VLOOKUP(D767, Products!$A$2:$F$61, 3, FALSE)</f>
        <v>Grocery</v>
      </c>
      <c r="M767" t="str">
        <f>VLOOKUP(E763, Sales_Reps!$A$2:$E$31, 3, FALSE)</f>
        <v>West</v>
      </c>
      <c r="N767">
        <f>VLOOKUP(D767, Products!$A$2:$F$61, 4, FALSE)</f>
        <v>2911</v>
      </c>
    </row>
    <row r="768" spans="1:14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 t="str">
        <f>VLOOKUP(D768, Products!$A$2:$F$61, 3, FALSE)</f>
        <v>Sports</v>
      </c>
      <c r="M768" t="str">
        <f>VLOOKUP(E764, Sales_Reps!$A$2:$E$31, 3, FALSE)</f>
        <v>South</v>
      </c>
      <c r="N768">
        <f>VLOOKUP(D768, Products!$A$2:$F$61, 4, FALSE)</f>
        <v>705</v>
      </c>
    </row>
    <row r="769" spans="1:14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 t="str">
        <f>VLOOKUP(D769, Products!$A$2:$F$61, 3, FALSE)</f>
        <v>Grocery</v>
      </c>
      <c r="M769" t="str">
        <f>VLOOKUP(E765, Sales_Reps!$A$2:$E$31, 3, FALSE)</f>
        <v>North</v>
      </c>
      <c r="N769">
        <f>VLOOKUP(D769, Products!$A$2:$F$61, 4, FALSE)</f>
        <v>1412</v>
      </c>
    </row>
    <row r="770" spans="1:14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 t="str">
        <f>VLOOKUP(D770, Products!$A$2:$F$61, 3, FALSE)</f>
        <v>Grocery</v>
      </c>
      <c r="M770" t="str">
        <f>VLOOKUP(E766, Sales_Reps!$A$2:$E$31, 3, FALSE)</f>
        <v>West</v>
      </c>
      <c r="N770">
        <f>VLOOKUP(D770, Products!$A$2:$F$61, 4, FALSE)</f>
        <v>2436</v>
      </c>
    </row>
    <row r="771" spans="1:14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 t="str">
        <f>VLOOKUP(D771, Products!$A$2:$F$61, 3, FALSE)</f>
        <v>Beauty</v>
      </c>
      <c r="M771" t="str">
        <f>VLOOKUP(E767, Sales_Reps!$A$2:$E$31, 3, FALSE)</f>
        <v>West</v>
      </c>
      <c r="N771">
        <f>VLOOKUP(D771, Products!$A$2:$F$61, 4, FALSE)</f>
        <v>1219</v>
      </c>
    </row>
    <row r="772" spans="1:14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 t="str">
        <f>VLOOKUP(D772, Products!$A$2:$F$61, 3, FALSE)</f>
        <v>Beauty</v>
      </c>
      <c r="M772" t="str">
        <f>VLOOKUP(E768, Sales_Reps!$A$2:$E$31, 3, FALSE)</f>
        <v>East</v>
      </c>
      <c r="N772">
        <f>VLOOKUP(D772, Products!$A$2:$F$61, 4, FALSE)</f>
        <v>1728</v>
      </c>
    </row>
    <row r="773" spans="1:14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 t="str">
        <f>VLOOKUP(D773, Products!$A$2:$F$61, 3, FALSE)</f>
        <v>Apparel</v>
      </c>
      <c r="M773" t="str">
        <f>VLOOKUP(E769, Sales_Reps!$A$2:$E$31, 3, FALSE)</f>
        <v>West</v>
      </c>
      <c r="N773">
        <f>VLOOKUP(D773, Products!$A$2:$F$61, 4, FALSE)</f>
        <v>1075</v>
      </c>
    </row>
    <row r="774" spans="1:14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 t="str">
        <f>VLOOKUP(D774, Products!$A$2:$F$61, 3, FALSE)</f>
        <v>Electronics</v>
      </c>
      <c r="M774" t="str">
        <f>VLOOKUP(E770, Sales_Reps!$A$2:$E$31, 3, FALSE)</f>
        <v>North</v>
      </c>
      <c r="N774">
        <f>VLOOKUP(D774, Products!$A$2:$F$61, 4, FALSE)</f>
        <v>1052</v>
      </c>
    </row>
    <row r="775" spans="1:14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 t="str">
        <f>VLOOKUP(D775, Products!$A$2:$F$61, 3, FALSE)</f>
        <v>Sports</v>
      </c>
      <c r="M775" t="str">
        <f>VLOOKUP(E771, Sales_Reps!$A$2:$E$31, 3, FALSE)</f>
        <v>West</v>
      </c>
      <c r="N775">
        <f>VLOOKUP(D775, Products!$A$2:$F$61, 4, FALSE)</f>
        <v>302</v>
      </c>
    </row>
    <row r="776" spans="1:14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 t="str">
        <f>VLOOKUP(D776, Products!$A$2:$F$61, 3, FALSE)</f>
        <v>Home</v>
      </c>
      <c r="M776" t="str">
        <f>VLOOKUP(E772, Sales_Reps!$A$2:$E$31, 3, FALSE)</f>
        <v>East</v>
      </c>
      <c r="N776">
        <f>VLOOKUP(D776, Products!$A$2:$F$61, 4, FALSE)</f>
        <v>519</v>
      </c>
    </row>
    <row r="777" spans="1:14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 t="str">
        <f>VLOOKUP(D777, Products!$A$2:$F$61, 3, FALSE)</f>
        <v>Sports</v>
      </c>
      <c r="M777" t="str">
        <f>VLOOKUP(E773, Sales_Reps!$A$2:$E$31, 3, FALSE)</f>
        <v>East</v>
      </c>
      <c r="N777">
        <f>VLOOKUP(D777, Products!$A$2:$F$61, 4, FALSE)</f>
        <v>516</v>
      </c>
    </row>
    <row r="778" spans="1:14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 t="str">
        <f>VLOOKUP(D778, Products!$A$2:$F$61, 3, FALSE)</f>
        <v>Electronics</v>
      </c>
      <c r="M778" t="str">
        <f>VLOOKUP(E774, Sales_Reps!$A$2:$E$31, 3, FALSE)</f>
        <v>East</v>
      </c>
      <c r="N778">
        <f>VLOOKUP(D778, Products!$A$2:$F$61, 4, FALSE)</f>
        <v>1559</v>
      </c>
    </row>
    <row r="779" spans="1:14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 t="str">
        <f>VLOOKUP(D779, Products!$A$2:$F$61, 3, FALSE)</f>
        <v>Home</v>
      </c>
      <c r="M779" t="str">
        <f>VLOOKUP(E775, Sales_Reps!$A$2:$E$31, 3, FALSE)</f>
        <v>North</v>
      </c>
      <c r="N779">
        <f>VLOOKUP(D779, Products!$A$2:$F$61, 4, FALSE)</f>
        <v>1143</v>
      </c>
    </row>
    <row r="780" spans="1:14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 t="str">
        <f>VLOOKUP(D780, Products!$A$2:$F$61, 3, FALSE)</f>
        <v>Home</v>
      </c>
      <c r="M780" t="str">
        <f>VLOOKUP(E776, Sales_Reps!$A$2:$E$31, 3, FALSE)</f>
        <v>South</v>
      </c>
      <c r="N780">
        <f>VLOOKUP(D780, Products!$A$2:$F$61, 4, FALSE)</f>
        <v>519</v>
      </c>
    </row>
    <row r="781" spans="1:14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 t="str">
        <f>VLOOKUP(D781, Products!$A$2:$F$61, 3, FALSE)</f>
        <v>Home</v>
      </c>
      <c r="M781" t="str">
        <f>VLOOKUP(E777, Sales_Reps!$A$2:$E$31, 3, FALSE)</f>
        <v>East</v>
      </c>
      <c r="N781">
        <f>VLOOKUP(D781, Products!$A$2:$F$61, 4, FALSE)</f>
        <v>464</v>
      </c>
    </row>
    <row r="782" spans="1:14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 t="str">
        <f>VLOOKUP(D782, Products!$A$2:$F$61, 3, FALSE)</f>
        <v>Home</v>
      </c>
      <c r="M782" t="str">
        <f>VLOOKUP(E778, Sales_Reps!$A$2:$E$31, 3, FALSE)</f>
        <v>North</v>
      </c>
      <c r="N782">
        <f>VLOOKUP(D782, Products!$A$2:$F$61, 4, FALSE)</f>
        <v>288</v>
      </c>
    </row>
    <row r="783" spans="1:14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 t="str">
        <f>VLOOKUP(D783, Products!$A$2:$F$61, 3, FALSE)</f>
        <v>Apparel</v>
      </c>
      <c r="M783" t="str">
        <f>VLOOKUP(E779, Sales_Reps!$A$2:$E$31, 3, FALSE)</f>
        <v>West</v>
      </c>
      <c r="N783">
        <f>VLOOKUP(D783, Products!$A$2:$F$61, 4, FALSE)</f>
        <v>2629</v>
      </c>
    </row>
    <row r="784" spans="1:14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 t="str">
        <f>VLOOKUP(D784, Products!$A$2:$F$61, 3, FALSE)</f>
        <v>Beauty</v>
      </c>
      <c r="M784" t="str">
        <f>VLOOKUP(E780, Sales_Reps!$A$2:$E$31, 3, FALSE)</f>
        <v>West</v>
      </c>
      <c r="N784">
        <f>VLOOKUP(D784, Products!$A$2:$F$61, 4, FALSE)</f>
        <v>2617</v>
      </c>
    </row>
    <row r="785" spans="1:14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 t="str">
        <f>VLOOKUP(D785, Products!$A$2:$F$61, 3, FALSE)</f>
        <v>Sports</v>
      </c>
      <c r="M785" t="str">
        <f>VLOOKUP(E781, Sales_Reps!$A$2:$E$31, 3, FALSE)</f>
        <v>South</v>
      </c>
      <c r="N785">
        <f>VLOOKUP(D785, Products!$A$2:$F$61, 4, FALSE)</f>
        <v>2467</v>
      </c>
    </row>
    <row r="786" spans="1:14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 t="str">
        <f>VLOOKUP(D786, Products!$A$2:$F$61, 3, FALSE)</f>
        <v>Home</v>
      </c>
      <c r="M786" t="str">
        <f>VLOOKUP(E782, Sales_Reps!$A$2:$E$31, 3, FALSE)</f>
        <v>South</v>
      </c>
      <c r="N786">
        <f>VLOOKUP(D786, Products!$A$2:$F$61, 4, FALSE)</f>
        <v>2459</v>
      </c>
    </row>
    <row r="787" spans="1:14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 t="str">
        <f>VLOOKUP(D787, Products!$A$2:$F$61, 3, FALSE)</f>
        <v>Apparel</v>
      </c>
      <c r="M787" t="str">
        <f>VLOOKUP(E783, Sales_Reps!$A$2:$E$31, 3, FALSE)</f>
        <v>East</v>
      </c>
      <c r="N787">
        <f>VLOOKUP(D787, Products!$A$2:$F$61, 4, FALSE)</f>
        <v>1748</v>
      </c>
    </row>
    <row r="788" spans="1:14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 t="str">
        <f>VLOOKUP(D788, Products!$A$2:$F$61, 3, FALSE)</f>
        <v>Grocery</v>
      </c>
      <c r="M788" t="str">
        <f>VLOOKUP(E784, Sales_Reps!$A$2:$E$31, 3, FALSE)</f>
        <v>South</v>
      </c>
      <c r="N788">
        <f>VLOOKUP(D788, Products!$A$2:$F$61, 4, FALSE)</f>
        <v>1203</v>
      </c>
    </row>
    <row r="789" spans="1:14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 t="str">
        <f>VLOOKUP(D789, Products!$A$2:$F$61, 3, FALSE)</f>
        <v>Apparel</v>
      </c>
      <c r="M789" t="str">
        <f>VLOOKUP(E785, Sales_Reps!$A$2:$E$31, 3, FALSE)</f>
        <v>South</v>
      </c>
      <c r="N789">
        <f>VLOOKUP(D789, Products!$A$2:$F$61, 4, FALSE)</f>
        <v>1886</v>
      </c>
    </row>
    <row r="790" spans="1:14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 t="str">
        <f>VLOOKUP(D790, Products!$A$2:$F$61, 3, FALSE)</f>
        <v>Beauty</v>
      </c>
      <c r="M790" t="str">
        <f>VLOOKUP(E786, Sales_Reps!$A$2:$E$31, 3, FALSE)</f>
        <v>South</v>
      </c>
      <c r="N790">
        <f>VLOOKUP(D790, Products!$A$2:$F$61, 4, FALSE)</f>
        <v>1728</v>
      </c>
    </row>
    <row r="791" spans="1:14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 t="str">
        <f>VLOOKUP(D791, Products!$A$2:$F$61, 3, FALSE)</f>
        <v>Beauty</v>
      </c>
      <c r="M791" t="str">
        <f>VLOOKUP(E787, Sales_Reps!$A$2:$E$31, 3, FALSE)</f>
        <v>East</v>
      </c>
      <c r="N791">
        <f>VLOOKUP(D791, Products!$A$2:$F$61, 4, FALSE)</f>
        <v>1222</v>
      </c>
    </row>
    <row r="792" spans="1:14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 t="str">
        <f>VLOOKUP(D792, Products!$A$2:$F$61, 3, FALSE)</f>
        <v>Home</v>
      </c>
      <c r="M792" t="str">
        <f>VLOOKUP(E788, Sales_Reps!$A$2:$E$31, 3, FALSE)</f>
        <v>South</v>
      </c>
      <c r="N792">
        <f>VLOOKUP(D792, Products!$A$2:$F$61, 4, FALSE)</f>
        <v>2549</v>
      </c>
    </row>
    <row r="793" spans="1:14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 t="str">
        <f>VLOOKUP(D793, Products!$A$2:$F$61, 3, FALSE)</f>
        <v>Home</v>
      </c>
      <c r="M793" t="str">
        <f>VLOOKUP(E789, Sales_Reps!$A$2:$E$31, 3, FALSE)</f>
        <v>East</v>
      </c>
      <c r="N793">
        <f>VLOOKUP(D793, Products!$A$2:$F$61, 4, FALSE)</f>
        <v>519</v>
      </c>
    </row>
    <row r="794" spans="1:14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 t="str">
        <f>VLOOKUP(D794, Products!$A$2:$F$61, 3, FALSE)</f>
        <v>Grocery</v>
      </c>
      <c r="M794" t="str">
        <f>VLOOKUP(E790, Sales_Reps!$A$2:$E$31, 3, FALSE)</f>
        <v>West</v>
      </c>
      <c r="N794">
        <f>VLOOKUP(D794, Products!$A$2:$F$61, 4, FALSE)</f>
        <v>2436</v>
      </c>
    </row>
    <row r="795" spans="1:14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 t="str">
        <f>VLOOKUP(D795, Products!$A$2:$F$61, 3, FALSE)</f>
        <v>Home</v>
      </c>
      <c r="M795" t="str">
        <f>VLOOKUP(E791, Sales_Reps!$A$2:$E$31, 3, FALSE)</f>
        <v>West</v>
      </c>
      <c r="N795">
        <f>VLOOKUP(D795, Products!$A$2:$F$61, 4, FALSE)</f>
        <v>1143</v>
      </c>
    </row>
    <row r="796" spans="1:14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 t="str">
        <f>VLOOKUP(D796, Products!$A$2:$F$61, 3, FALSE)</f>
        <v>Beauty</v>
      </c>
      <c r="M796" t="str">
        <f>VLOOKUP(E792, Sales_Reps!$A$2:$E$31, 3, FALSE)</f>
        <v>North</v>
      </c>
      <c r="N796">
        <f>VLOOKUP(D796, Products!$A$2:$F$61, 4, FALSE)</f>
        <v>647</v>
      </c>
    </row>
    <row r="797" spans="1:14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 t="str">
        <f>VLOOKUP(D797, Products!$A$2:$F$61, 3, FALSE)</f>
        <v>Home</v>
      </c>
      <c r="M797" t="str">
        <f>VLOOKUP(E793, Sales_Reps!$A$2:$E$31, 3, FALSE)</f>
        <v>West</v>
      </c>
      <c r="N797">
        <f>VLOOKUP(D797, Products!$A$2:$F$61, 4, FALSE)</f>
        <v>1556</v>
      </c>
    </row>
    <row r="798" spans="1:14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 t="str">
        <f>VLOOKUP(D798, Products!$A$2:$F$61, 3, FALSE)</f>
        <v>Beauty</v>
      </c>
      <c r="M798" t="str">
        <f>VLOOKUP(E794, Sales_Reps!$A$2:$E$31, 3, FALSE)</f>
        <v>East</v>
      </c>
      <c r="N798">
        <f>VLOOKUP(D798, Products!$A$2:$F$61, 4, FALSE)</f>
        <v>2420</v>
      </c>
    </row>
    <row r="799" spans="1:14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 t="str">
        <f>VLOOKUP(D799, Products!$A$2:$F$61, 3, FALSE)</f>
        <v>Home</v>
      </c>
      <c r="M799" t="str">
        <f>VLOOKUP(E795, Sales_Reps!$A$2:$E$31, 3, FALSE)</f>
        <v>West</v>
      </c>
      <c r="N799">
        <f>VLOOKUP(D799, Products!$A$2:$F$61, 4, FALSE)</f>
        <v>2549</v>
      </c>
    </row>
    <row r="800" spans="1:14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 t="str">
        <f>VLOOKUP(D800, Products!$A$2:$F$61, 3, FALSE)</f>
        <v>Home</v>
      </c>
      <c r="M800" t="str">
        <f>VLOOKUP(E796, Sales_Reps!$A$2:$E$31, 3, FALSE)</f>
        <v>East</v>
      </c>
      <c r="N800">
        <f>VLOOKUP(D800, Products!$A$2:$F$61, 4, FALSE)</f>
        <v>288</v>
      </c>
    </row>
    <row r="801" spans="1:14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 t="str">
        <f>VLOOKUP(D801, Products!$A$2:$F$61, 3, FALSE)</f>
        <v>Electronics</v>
      </c>
      <c r="M801" t="str">
        <f>VLOOKUP(E797, Sales_Reps!$A$2:$E$31, 3, FALSE)</f>
        <v>South</v>
      </c>
      <c r="N801">
        <f>VLOOKUP(D801, Products!$A$2:$F$61, 4, FALSE)</f>
        <v>2405</v>
      </c>
    </row>
    <row r="802" spans="1:14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 t="str">
        <f>VLOOKUP(D802, Products!$A$2:$F$61, 3, FALSE)</f>
        <v>Sports</v>
      </c>
      <c r="M802" t="str">
        <f>VLOOKUP(E798, Sales_Reps!$A$2:$E$31, 3, FALSE)</f>
        <v>North</v>
      </c>
      <c r="N802">
        <f>VLOOKUP(D802, Products!$A$2:$F$61, 4, FALSE)</f>
        <v>2467</v>
      </c>
    </row>
    <row r="803" spans="1:14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 t="str">
        <f>VLOOKUP(D803, Products!$A$2:$F$61, 3, FALSE)</f>
        <v>Apparel</v>
      </c>
      <c r="M803" t="str">
        <f>VLOOKUP(E799, Sales_Reps!$A$2:$E$31, 3, FALSE)</f>
        <v>North</v>
      </c>
      <c r="N803">
        <f>VLOOKUP(D803, Products!$A$2:$F$61, 4, FALSE)</f>
        <v>1748</v>
      </c>
    </row>
    <row r="804" spans="1:14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 t="str">
        <f>VLOOKUP(D804, Products!$A$2:$F$61, 3, FALSE)</f>
        <v>Beauty</v>
      </c>
      <c r="M804" t="str">
        <f>VLOOKUP(E800, Sales_Reps!$A$2:$E$31, 3, FALSE)</f>
        <v>West</v>
      </c>
      <c r="N804">
        <f>VLOOKUP(D804, Products!$A$2:$F$61, 4, FALSE)</f>
        <v>2617</v>
      </c>
    </row>
    <row r="805" spans="1:14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 t="str">
        <f>VLOOKUP(D805, Products!$A$2:$F$61, 3, FALSE)</f>
        <v>Apparel</v>
      </c>
      <c r="M805" t="str">
        <f>VLOOKUP(E801, Sales_Reps!$A$2:$E$31, 3, FALSE)</f>
        <v>South</v>
      </c>
      <c r="N805">
        <f>VLOOKUP(D805, Products!$A$2:$F$61, 4, FALSE)</f>
        <v>1075</v>
      </c>
    </row>
    <row r="806" spans="1:14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 t="str">
        <f>VLOOKUP(D806, Products!$A$2:$F$61, 3, FALSE)</f>
        <v>Sports</v>
      </c>
      <c r="M806" t="str">
        <f>VLOOKUP(E802, Sales_Reps!$A$2:$E$31, 3, FALSE)</f>
        <v>South</v>
      </c>
      <c r="N806">
        <f>VLOOKUP(D806, Products!$A$2:$F$61, 4, FALSE)</f>
        <v>516</v>
      </c>
    </row>
    <row r="807" spans="1:14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 t="str">
        <f>VLOOKUP(D807, Products!$A$2:$F$61, 3, FALSE)</f>
        <v>Apparel</v>
      </c>
      <c r="M807" t="str">
        <f>VLOOKUP(E803, Sales_Reps!$A$2:$E$31, 3, FALSE)</f>
        <v>West</v>
      </c>
      <c r="N807">
        <f>VLOOKUP(D807, Products!$A$2:$F$61, 4, FALSE)</f>
        <v>2629</v>
      </c>
    </row>
    <row r="808" spans="1:14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 t="str">
        <f>VLOOKUP(D808, Products!$A$2:$F$61, 3, FALSE)</f>
        <v>Beauty</v>
      </c>
      <c r="M808" t="str">
        <f>VLOOKUP(E804, Sales_Reps!$A$2:$E$31, 3, FALSE)</f>
        <v>West</v>
      </c>
      <c r="N808">
        <f>VLOOKUP(D808, Products!$A$2:$F$61, 4, FALSE)</f>
        <v>1626</v>
      </c>
    </row>
    <row r="809" spans="1:14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 t="str">
        <f>VLOOKUP(D809, Products!$A$2:$F$61, 3, FALSE)</f>
        <v>Grocery</v>
      </c>
      <c r="M809" t="str">
        <f>VLOOKUP(E805, Sales_Reps!$A$2:$E$31, 3, FALSE)</f>
        <v>South</v>
      </c>
      <c r="N809">
        <f>VLOOKUP(D809, Products!$A$2:$F$61, 4, FALSE)</f>
        <v>2027</v>
      </c>
    </row>
    <row r="810" spans="1:14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 t="str">
        <f>VLOOKUP(D810, Products!$A$2:$F$61, 3, FALSE)</f>
        <v>Home</v>
      </c>
      <c r="M810" t="str">
        <f>VLOOKUP(E806, Sales_Reps!$A$2:$E$31, 3, FALSE)</f>
        <v>South</v>
      </c>
      <c r="N810">
        <f>VLOOKUP(D810, Products!$A$2:$F$61, 4, FALSE)</f>
        <v>288</v>
      </c>
    </row>
    <row r="811" spans="1:14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 t="str">
        <f>VLOOKUP(D811, Products!$A$2:$F$61, 3, FALSE)</f>
        <v>Grocery</v>
      </c>
      <c r="M811" t="str">
        <f>VLOOKUP(E807, Sales_Reps!$A$2:$E$31, 3, FALSE)</f>
        <v>East</v>
      </c>
      <c r="N811">
        <f>VLOOKUP(D811, Products!$A$2:$F$61, 4, FALSE)</f>
        <v>434</v>
      </c>
    </row>
    <row r="812" spans="1:14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 t="str">
        <f>VLOOKUP(D812, Products!$A$2:$F$61, 3, FALSE)</f>
        <v>Apparel</v>
      </c>
      <c r="M812" t="str">
        <f>VLOOKUP(E808, Sales_Reps!$A$2:$E$31, 3, FALSE)</f>
        <v>North</v>
      </c>
      <c r="N812">
        <f>VLOOKUP(D812, Products!$A$2:$F$61, 4, FALSE)</f>
        <v>1962</v>
      </c>
    </row>
    <row r="813" spans="1:14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 t="str">
        <f>VLOOKUP(D813, Products!$A$2:$F$61, 3, FALSE)</f>
        <v>Sports</v>
      </c>
      <c r="M813" t="str">
        <f>VLOOKUP(E809, Sales_Reps!$A$2:$E$31, 3, FALSE)</f>
        <v>East</v>
      </c>
      <c r="N813">
        <f>VLOOKUP(D813, Products!$A$2:$F$61, 4, FALSE)</f>
        <v>974</v>
      </c>
    </row>
    <row r="814" spans="1:14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 t="str">
        <f>VLOOKUP(D814, Products!$A$2:$F$61, 3, FALSE)</f>
        <v>Apparel</v>
      </c>
      <c r="M814" t="str">
        <f>VLOOKUP(E810, Sales_Reps!$A$2:$E$31, 3, FALSE)</f>
        <v>East</v>
      </c>
      <c r="N814">
        <f>VLOOKUP(D814, Products!$A$2:$F$61, 4, FALSE)</f>
        <v>2629</v>
      </c>
    </row>
    <row r="815" spans="1:14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 t="str">
        <f>VLOOKUP(D815, Products!$A$2:$F$61, 3, FALSE)</f>
        <v>Grocery</v>
      </c>
      <c r="M815" t="str">
        <f>VLOOKUP(E811, Sales_Reps!$A$2:$E$31, 3, FALSE)</f>
        <v>East</v>
      </c>
      <c r="N815">
        <f>VLOOKUP(D815, Products!$A$2:$F$61, 4, FALSE)</f>
        <v>2027</v>
      </c>
    </row>
    <row r="816" spans="1:14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 t="str">
        <f>VLOOKUP(D816, Products!$A$2:$F$61, 3, FALSE)</f>
        <v>Sports</v>
      </c>
      <c r="M816" t="str">
        <f>VLOOKUP(E812, Sales_Reps!$A$2:$E$31, 3, FALSE)</f>
        <v>East</v>
      </c>
      <c r="N816">
        <f>VLOOKUP(D816, Products!$A$2:$F$61, 4, FALSE)</f>
        <v>2265</v>
      </c>
    </row>
    <row r="817" spans="1:14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 t="str">
        <f>VLOOKUP(D817, Products!$A$2:$F$61, 3, FALSE)</f>
        <v>Grocery</v>
      </c>
      <c r="M817" t="str">
        <f>VLOOKUP(E813, Sales_Reps!$A$2:$E$31, 3, FALSE)</f>
        <v>South</v>
      </c>
      <c r="N817">
        <f>VLOOKUP(D817, Products!$A$2:$F$61, 4, FALSE)</f>
        <v>1435</v>
      </c>
    </row>
    <row r="818" spans="1:14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 t="str">
        <f>VLOOKUP(D818, Products!$A$2:$F$61, 3, FALSE)</f>
        <v>Home</v>
      </c>
      <c r="M818" t="str">
        <f>VLOOKUP(E814, Sales_Reps!$A$2:$E$31, 3, FALSE)</f>
        <v>South</v>
      </c>
      <c r="N818">
        <f>VLOOKUP(D818, Products!$A$2:$F$61, 4, FALSE)</f>
        <v>2459</v>
      </c>
    </row>
    <row r="819" spans="1:14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 t="str">
        <f>VLOOKUP(D819, Products!$A$2:$F$61, 3, FALSE)</f>
        <v>Home</v>
      </c>
      <c r="M819" t="str">
        <f>VLOOKUP(E815, Sales_Reps!$A$2:$E$31, 3, FALSE)</f>
        <v>South</v>
      </c>
      <c r="N819">
        <f>VLOOKUP(D819, Products!$A$2:$F$61, 4, FALSE)</f>
        <v>464</v>
      </c>
    </row>
    <row r="820" spans="1:14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 t="str">
        <f>VLOOKUP(D820, Products!$A$2:$F$61, 3, FALSE)</f>
        <v>Grocery</v>
      </c>
      <c r="M820" t="str">
        <f>VLOOKUP(E816, Sales_Reps!$A$2:$E$31, 3, FALSE)</f>
        <v>North</v>
      </c>
      <c r="N820">
        <f>VLOOKUP(D820, Products!$A$2:$F$61, 4, FALSE)</f>
        <v>1182</v>
      </c>
    </row>
    <row r="821" spans="1:14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 t="str">
        <f>VLOOKUP(D821, Products!$A$2:$F$61, 3, FALSE)</f>
        <v>Apparel</v>
      </c>
      <c r="M821" t="str">
        <f>VLOOKUP(E817, Sales_Reps!$A$2:$E$31, 3, FALSE)</f>
        <v>West</v>
      </c>
      <c r="N821">
        <f>VLOOKUP(D821, Products!$A$2:$F$61, 4, FALSE)</f>
        <v>1886</v>
      </c>
    </row>
    <row r="822" spans="1:14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 t="str">
        <f>VLOOKUP(D822, Products!$A$2:$F$61, 3, FALSE)</f>
        <v>Sports</v>
      </c>
      <c r="M822" t="str">
        <f>VLOOKUP(E818, Sales_Reps!$A$2:$E$31, 3, FALSE)</f>
        <v>South</v>
      </c>
      <c r="N822">
        <f>VLOOKUP(D822, Products!$A$2:$F$61, 4, FALSE)</f>
        <v>974</v>
      </c>
    </row>
    <row r="823" spans="1:14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 t="str">
        <f>VLOOKUP(D823, Products!$A$2:$F$61, 3, FALSE)</f>
        <v>Electronics</v>
      </c>
      <c r="M823" t="str">
        <f>VLOOKUP(E819, Sales_Reps!$A$2:$E$31, 3, FALSE)</f>
        <v>East</v>
      </c>
      <c r="N823">
        <f>VLOOKUP(D823, Products!$A$2:$F$61, 4, FALSE)</f>
        <v>1052</v>
      </c>
    </row>
    <row r="824" spans="1:14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 t="str">
        <f>VLOOKUP(D824, Products!$A$2:$F$61, 3, FALSE)</f>
        <v>Grocery</v>
      </c>
      <c r="M824" t="str">
        <f>VLOOKUP(E820, Sales_Reps!$A$2:$E$31, 3, FALSE)</f>
        <v>West</v>
      </c>
      <c r="N824">
        <f>VLOOKUP(D824, Products!$A$2:$F$61, 4, FALSE)</f>
        <v>1203</v>
      </c>
    </row>
    <row r="825" spans="1:14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 t="str">
        <f>VLOOKUP(D825, Products!$A$2:$F$61, 3, FALSE)</f>
        <v>Home</v>
      </c>
      <c r="M825" t="str">
        <f>VLOOKUP(E821, Sales_Reps!$A$2:$E$31, 3, FALSE)</f>
        <v>West</v>
      </c>
      <c r="N825">
        <f>VLOOKUP(D825, Products!$A$2:$F$61, 4, FALSE)</f>
        <v>2549</v>
      </c>
    </row>
    <row r="826" spans="1:14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 t="str">
        <f>VLOOKUP(D826, Products!$A$2:$F$61, 3, FALSE)</f>
        <v>Electronics</v>
      </c>
      <c r="M826" t="str">
        <f>VLOOKUP(E822, Sales_Reps!$A$2:$E$31, 3, FALSE)</f>
        <v>West</v>
      </c>
      <c r="N826">
        <f>VLOOKUP(D826, Products!$A$2:$F$61, 4, FALSE)</f>
        <v>1559</v>
      </c>
    </row>
    <row r="827" spans="1:14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 t="str">
        <f>VLOOKUP(D827, Products!$A$2:$F$61, 3, FALSE)</f>
        <v>Beauty</v>
      </c>
      <c r="M827" t="str">
        <f>VLOOKUP(E823, Sales_Reps!$A$2:$E$31, 3, FALSE)</f>
        <v>East</v>
      </c>
      <c r="N827">
        <f>VLOOKUP(D827, Products!$A$2:$F$61, 4, FALSE)</f>
        <v>675</v>
      </c>
    </row>
    <row r="828" spans="1:14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 t="str">
        <f>VLOOKUP(D828, Products!$A$2:$F$61, 3, FALSE)</f>
        <v>Beauty</v>
      </c>
      <c r="M828" t="str">
        <f>VLOOKUP(E824, Sales_Reps!$A$2:$E$31, 3, FALSE)</f>
        <v>East</v>
      </c>
      <c r="N828">
        <f>VLOOKUP(D828, Products!$A$2:$F$61, 4, FALSE)</f>
        <v>2768</v>
      </c>
    </row>
    <row r="829" spans="1:14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 t="str">
        <f>VLOOKUP(D829, Products!$A$2:$F$61, 3, FALSE)</f>
        <v>Sports</v>
      </c>
      <c r="M829" t="str">
        <f>VLOOKUP(E825, Sales_Reps!$A$2:$E$31, 3, FALSE)</f>
        <v>East</v>
      </c>
      <c r="N829">
        <f>VLOOKUP(D829, Products!$A$2:$F$61, 4, FALSE)</f>
        <v>974</v>
      </c>
    </row>
    <row r="830" spans="1:14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 t="str">
        <f>VLOOKUP(D830, Products!$A$2:$F$61, 3, FALSE)</f>
        <v>Apparel</v>
      </c>
      <c r="M830" t="str">
        <f>VLOOKUP(E826, Sales_Reps!$A$2:$E$31, 3, FALSE)</f>
        <v>South</v>
      </c>
      <c r="N830">
        <f>VLOOKUP(D830, Products!$A$2:$F$61, 4, FALSE)</f>
        <v>396</v>
      </c>
    </row>
    <row r="831" spans="1:14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 t="str">
        <f>VLOOKUP(D831, Products!$A$2:$F$61, 3, FALSE)</f>
        <v>Home</v>
      </c>
      <c r="M831" t="str">
        <f>VLOOKUP(E827, Sales_Reps!$A$2:$E$31, 3, FALSE)</f>
        <v>West</v>
      </c>
      <c r="N831">
        <f>VLOOKUP(D831, Products!$A$2:$F$61, 4, FALSE)</f>
        <v>1850</v>
      </c>
    </row>
    <row r="832" spans="1:14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 t="str">
        <f>VLOOKUP(D832, Products!$A$2:$F$61, 3, FALSE)</f>
        <v>Home</v>
      </c>
      <c r="M832" t="str">
        <f>VLOOKUP(E828, Sales_Reps!$A$2:$E$31, 3, FALSE)</f>
        <v>North</v>
      </c>
      <c r="N832">
        <f>VLOOKUP(D832, Products!$A$2:$F$61, 4, FALSE)</f>
        <v>1850</v>
      </c>
    </row>
    <row r="833" spans="1:14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 t="str">
        <f>VLOOKUP(D833, Products!$A$2:$F$61, 3, FALSE)</f>
        <v>Grocery</v>
      </c>
      <c r="M833" t="str">
        <f>VLOOKUP(E829, Sales_Reps!$A$2:$E$31, 3, FALSE)</f>
        <v>North</v>
      </c>
      <c r="N833">
        <f>VLOOKUP(D833, Products!$A$2:$F$61, 4, FALSE)</f>
        <v>434</v>
      </c>
    </row>
    <row r="834" spans="1:14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 t="str">
        <f>VLOOKUP(D834, Products!$A$2:$F$61, 3, FALSE)</f>
        <v>Electronics</v>
      </c>
      <c r="M834" t="str">
        <f>VLOOKUP(E830, Sales_Reps!$A$2:$E$31, 3, FALSE)</f>
        <v>South</v>
      </c>
      <c r="N834">
        <f>VLOOKUP(D834, Products!$A$2:$F$61, 4, FALSE)</f>
        <v>861</v>
      </c>
    </row>
    <row r="835" spans="1:14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 t="str">
        <f>VLOOKUP(D835, Products!$A$2:$F$61, 3, FALSE)</f>
        <v>Grocery</v>
      </c>
      <c r="M835" t="str">
        <f>VLOOKUP(E831, Sales_Reps!$A$2:$E$31, 3, FALSE)</f>
        <v>South</v>
      </c>
      <c r="N835">
        <f>VLOOKUP(D835, Products!$A$2:$F$61, 4, FALSE)</f>
        <v>2436</v>
      </c>
    </row>
    <row r="836" spans="1:14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 t="str">
        <f>VLOOKUP(D836, Products!$A$2:$F$61, 3, FALSE)</f>
        <v>Beauty</v>
      </c>
      <c r="M836" t="str">
        <f>VLOOKUP(E832, Sales_Reps!$A$2:$E$31, 3, FALSE)</f>
        <v>South</v>
      </c>
      <c r="N836">
        <f>VLOOKUP(D836, Products!$A$2:$F$61, 4, FALSE)</f>
        <v>647</v>
      </c>
    </row>
    <row r="837" spans="1:14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 t="str">
        <f>VLOOKUP(D837, Products!$A$2:$F$61, 3, FALSE)</f>
        <v>Home</v>
      </c>
      <c r="M837" t="str">
        <f>VLOOKUP(E833, Sales_Reps!$A$2:$E$31, 3, FALSE)</f>
        <v>West</v>
      </c>
      <c r="N837">
        <f>VLOOKUP(D837, Products!$A$2:$F$61, 4, FALSE)</f>
        <v>519</v>
      </c>
    </row>
    <row r="838" spans="1:14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 t="str">
        <f>VLOOKUP(D838, Products!$A$2:$F$61, 3, FALSE)</f>
        <v>Sports</v>
      </c>
      <c r="M838" t="str">
        <f>VLOOKUP(E834, Sales_Reps!$A$2:$E$31, 3, FALSE)</f>
        <v>West</v>
      </c>
      <c r="N838">
        <f>VLOOKUP(D838, Products!$A$2:$F$61, 4, FALSE)</f>
        <v>974</v>
      </c>
    </row>
    <row r="839" spans="1:14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 t="str">
        <f>VLOOKUP(D839, Products!$A$2:$F$61, 3, FALSE)</f>
        <v>Home</v>
      </c>
      <c r="M839" t="str">
        <f>VLOOKUP(E835, Sales_Reps!$A$2:$E$31, 3, FALSE)</f>
        <v>South</v>
      </c>
      <c r="N839">
        <f>VLOOKUP(D839, Products!$A$2:$F$61, 4, FALSE)</f>
        <v>519</v>
      </c>
    </row>
    <row r="840" spans="1:14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 t="str">
        <f>VLOOKUP(D840, Products!$A$2:$F$61, 3, FALSE)</f>
        <v>Grocery</v>
      </c>
      <c r="M840" t="str">
        <f>VLOOKUP(E836, Sales_Reps!$A$2:$E$31, 3, FALSE)</f>
        <v>East</v>
      </c>
      <c r="N840">
        <f>VLOOKUP(D840, Products!$A$2:$F$61, 4, FALSE)</f>
        <v>1203</v>
      </c>
    </row>
    <row r="841" spans="1:14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 t="str">
        <f>VLOOKUP(D841, Products!$A$2:$F$61, 3, FALSE)</f>
        <v>Grocery</v>
      </c>
      <c r="M841" t="str">
        <f>VLOOKUP(E837, Sales_Reps!$A$2:$E$31, 3, FALSE)</f>
        <v>East</v>
      </c>
      <c r="N841">
        <f>VLOOKUP(D841, Products!$A$2:$F$61, 4, FALSE)</f>
        <v>2214</v>
      </c>
    </row>
    <row r="842" spans="1:14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 t="str">
        <f>VLOOKUP(D842, Products!$A$2:$F$61, 3, FALSE)</f>
        <v>Home</v>
      </c>
      <c r="M842" t="str">
        <f>VLOOKUP(E838, Sales_Reps!$A$2:$E$31, 3, FALSE)</f>
        <v>North</v>
      </c>
      <c r="N842">
        <f>VLOOKUP(D842, Products!$A$2:$F$61, 4, FALSE)</f>
        <v>1556</v>
      </c>
    </row>
    <row r="843" spans="1:14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 t="str">
        <f>VLOOKUP(D843, Products!$A$2:$F$61, 3, FALSE)</f>
        <v>Beauty</v>
      </c>
      <c r="M843" t="str">
        <f>VLOOKUP(E839, Sales_Reps!$A$2:$E$31, 3, FALSE)</f>
        <v>East</v>
      </c>
      <c r="N843">
        <f>VLOOKUP(D843, Products!$A$2:$F$61, 4, FALSE)</f>
        <v>1222</v>
      </c>
    </row>
    <row r="844" spans="1:14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 t="str">
        <f>VLOOKUP(D844, Products!$A$2:$F$61, 3, FALSE)</f>
        <v>Home</v>
      </c>
      <c r="M844" t="str">
        <f>VLOOKUP(E840, Sales_Reps!$A$2:$E$31, 3, FALSE)</f>
        <v>West</v>
      </c>
      <c r="N844">
        <f>VLOOKUP(D844, Products!$A$2:$F$61, 4, FALSE)</f>
        <v>2459</v>
      </c>
    </row>
    <row r="845" spans="1:14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 t="str">
        <f>VLOOKUP(D845, Products!$A$2:$F$61, 3, FALSE)</f>
        <v>Sports</v>
      </c>
      <c r="M845" t="str">
        <f>VLOOKUP(E841, Sales_Reps!$A$2:$E$31, 3, FALSE)</f>
        <v>West</v>
      </c>
      <c r="N845">
        <f>VLOOKUP(D845, Products!$A$2:$F$61, 4, FALSE)</f>
        <v>2467</v>
      </c>
    </row>
    <row r="846" spans="1:14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 t="str">
        <f>VLOOKUP(D846, Products!$A$2:$F$61, 3, FALSE)</f>
        <v>Beauty</v>
      </c>
      <c r="M846" t="str">
        <f>VLOOKUP(E842, Sales_Reps!$A$2:$E$31, 3, FALSE)</f>
        <v>North</v>
      </c>
      <c r="N846">
        <f>VLOOKUP(D846, Products!$A$2:$F$61, 4, FALSE)</f>
        <v>1728</v>
      </c>
    </row>
    <row r="847" spans="1:14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 t="str">
        <f>VLOOKUP(D847, Products!$A$2:$F$61, 3, FALSE)</f>
        <v>Grocery</v>
      </c>
      <c r="M847" t="str">
        <f>VLOOKUP(E843, Sales_Reps!$A$2:$E$31, 3, FALSE)</f>
        <v>South</v>
      </c>
      <c r="N847">
        <f>VLOOKUP(D847, Products!$A$2:$F$61, 4, FALSE)</f>
        <v>1010</v>
      </c>
    </row>
    <row r="848" spans="1:14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 t="str">
        <f>VLOOKUP(D848, Products!$A$2:$F$61, 3, FALSE)</f>
        <v>Beauty</v>
      </c>
      <c r="M848" t="str">
        <f>VLOOKUP(E844, Sales_Reps!$A$2:$E$31, 3, FALSE)</f>
        <v>North</v>
      </c>
      <c r="N848">
        <f>VLOOKUP(D848, Products!$A$2:$F$61, 4, FALSE)</f>
        <v>2768</v>
      </c>
    </row>
    <row r="849" spans="1:14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 t="str">
        <f>VLOOKUP(D849, Products!$A$2:$F$61, 3, FALSE)</f>
        <v>Sports</v>
      </c>
      <c r="M849" t="str">
        <f>VLOOKUP(E845, Sales_Reps!$A$2:$E$31, 3, FALSE)</f>
        <v>West</v>
      </c>
      <c r="N849">
        <f>VLOOKUP(D849, Products!$A$2:$F$61, 4, FALSE)</f>
        <v>2028</v>
      </c>
    </row>
    <row r="850" spans="1:14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 t="str">
        <f>VLOOKUP(D850, Products!$A$2:$F$61, 3, FALSE)</f>
        <v>Grocery</v>
      </c>
      <c r="M850" t="str">
        <f>VLOOKUP(E846, Sales_Reps!$A$2:$E$31, 3, FALSE)</f>
        <v>East</v>
      </c>
      <c r="N850">
        <f>VLOOKUP(D850, Products!$A$2:$F$61, 4, FALSE)</f>
        <v>434</v>
      </c>
    </row>
    <row r="851" spans="1:14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 t="str">
        <f>VLOOKUP(D851, Products!$A$2:$F$61, 3, FALSE)</f>
        <v>Grocery</v>
      </c>
      <c r="M851" t="str">
        <f>VLOOKUP(E847, Sales_Reps!$A$2:$E$31, 3, FALSE)</f>
        <v>West</v>
      </c>
      <c r="N851">
        <f>VLOOKUP(D851, Products!$A$2:$F$61, 4, FALSE)</f>
        <v>1412</v>
      </c>
    </row>
    <row r="852" spans="1:14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 t="str">
        <f>VLOOKUP(D852, Products!$A$2:$F$61, 3, FALSE)</f>
        <v>Apparel</v>
      </c>
      <c r="M852" t="str">
        <f>VLOOKUP(E848, Sales_Reps!$A$2:$E$31, 3, FALSE)</f>
        <v>North</v>
      </c>
      <c r="N852">
        <f>VLOOKUP(D852, Products!$A$2:$F$61, 4, FALSE)</f>
        <v>2629</v>
      </c>
    </row>
    <row r="853" spans="1:14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 t="str">
        <f>VLOOKUP(D853, Products!$A$2:$F$61, 3, FALSE)</f>
        <v>Sports</v>
      </c>
      <c r="M853" t="str">
        <f>VLOOKUP(E849, Sales_Reps!$A$2:$E$31, 3, FALSE)</f>
        <v>North</v>
      </c>
      <c r="N853">
        <f>VLOOKUP(D853, Products!$A$2:$F$61, 4, FALSE)</f>
        <v>2265</v>
      </c>
    </row>
    <row r="854" spans="1:14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 t="str">
        <f>VLOOKUP(D854, Products!$A$2:$F$61, 3, FALSE)</f>
        <v>Apparel</v>
      </c>
      <c r="M854" t="str">
        <f>VLOOKUP(E850, Sales_Reps!$A$2:$E$31, 3, FALSE)</f>
        <v>North</v>
      </c>
      <c r="N854">
        <f>VLOOKUP(D854, Products!$A$2:$F$61, 4, FALSE)</f>
        <v>1173</v>
      </c>
    </row>
    <row r="855" spans="1:14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 t="str">
        <f>VLOOKUP(D855, Products!$A$2:$F$61, 3, FALSE)</f>
        <v>Apparel</v>
      </c>
      <c r="M855" t="str">
        <f>VLOOKUP(E851, Sales_Reps!$A$2:$E$31, 3, FALSE)</f>
        <v>North</v>
      </c>
      <c r="N855">
        <f>VLOOKUP(D855, Products!$A$2:$F$61, 4, FALSE)</f>
        <v>391</v>
      </c>
    </row>
    <row r="856" spans="1:14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 t="str">
        <f>VLOOKUP(D856, Products!$A$2:$F$61, 3, FALSE)</f>
        <v>Electronics</v>
      </c>
      <c r="M856" t="str">
        <f>VLOOKUP(E852, Sales_Reps!$A$2:$E$31, 3, FALSE)</f>
        <v>South</v>
      </c>
      <c r="N856">
        <f>VLOOKUP(D856, Products!$A$2:$F$61, 4, FALSE)</f>
        <v>2405</v>
      </c>
    </row>
    <row r="857" spans="1:14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 t="str">
        <f>VLOOKUP(D857, Products!$A$2:$F$61, 3, FALSE)</f>
        <v>Beauty</v>
      </c>
      <c r="M857" t="str">
        <f>VLOOKUP(E853, Sales_Reps!$A$2:$E$31, 3, FALSE)</f>
        <v>South</v>
      </c>
      <c r="N857">
        <f>VLOOKUP(D857, Products!$A$2:$F$61, 4, FALSE)</f>
        <v>2420</v>
      </c>
    </row>
    <row r="858" spans="1:14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 t="str">
        <f>VLOOKUP(D858, Products!$A$2:$F$61, 3, FALSE)</f>
        <v>Beauty</v>
      </c>
      <c r="M858" t="str">
        <f>VLOOKUP(E854, Sales_Reps!$A$2:$E$31, 3, FALSE)</f>
        <v>North</v>
      </c>
      <c r="N858">
        <f>VLOOKUP(D858, Products!$A$2:$F$61, 4, FALSE)</f>
        <v>675</v>
      </c>
    </row>
    <row r="859" spans="1:14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 t="str">
        <f>VLOOKUP(D859, Products!$A$2:$F$61, 3, FALSE)</f>
        <v>Apparel</v>
      </c>
      <c r="M859" t="str">
        <f>VLOOKUP(E855, Sales_Reps!$A$2:$E$31, 3, FALSE)</f>
        <v>South</v>
      </c>
      <c r="N859">
        <f>VLOOKUP(D859, Products!$A$2:$F$61, 4, FALSE)</f>
        <v>1748</v>
      </c>
    </row>
    <row r="860" spans="1:14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 t="str">
        <f>VLOOKUP(D860, Products!$A$2:$F$61, 3, FALSE)</f>
        <v>Electronics</v>
      </c>
      <c r="M860" t="str">
        <f>VLOOKUP(E856, Sales_Reps!$A$2:$E$31, 3, FALSE)</f>
        <v>South</v>
      </c>
      <c r="N860">
        <f>VLOOKUP(D860, Products!$A$2:$F$61, 4, FALSE)</f>
        <v>517</v>
      </c>
    </row>
    <row r="861" spans="1:14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 t="str">
        <f>VLOOKUP(D861, Products!$A$2:$F$61, 3, FALSE)</f>
        <v>Electronics</v>
      </c>
      <c r="M861" t="str">
        <f>VLOOKUP(E857, Sales_Reps!$A$2:$E$31, 3, FALSE)</f>
        <v>North</v>
      </c>
      <c r="N861">
        <f>VLOOKUP(D861, Products!$A$2:$F$61, 4, FALSE)</f>
        <v>2405</v>
      </c>
    </row>
    <row r="862" spans="1:14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 t="str">
        <f>VLOOKUP(D862, Products!$A$2:$F$61, 3, FALSE)</f>
        <v>Electronics</v>
      </c>
      <c r="M862" t="str">
        <f>VLOOKUP(E858, Sales_Reps!$A$2:$E$31, 3, FALSE)</f>
        <v>East</v>
      </c>
      <c r="N862">
        <f>VLOOKUP(D862, Products!$A$2:$F$61, 4, FALSE)</f>
        <v>1665</v>
      </c>
    </row>
    <row r="863" spans="1:14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 t="str">
        <f>VLOOKUP(D863, Products!$A$2:$F$61, 3, FALSE)</f>
        <v>Grocery</v>
      </c>
      <c r="M863" t="str">
        <f>VLOOKUP(E859, Sales_Reps!$A$2:$E$31, 3, FALSE)</f>
        <v>North</v>
      </c>
      <c r="N863">
        <f>VLOOKUP(D863, Products!$A$2:$F$61, 4, FALSE)</f>
        <v>1010</v>
      </c>
    </row>
    <row r="864" spans="1:14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 t="str">
        <f>VLOOKUP(D864, Products!$A$2:$F$61, 3, FALSE)</f>
        <v>Sports</v>
      </c>
      <c r="M864" t="str">
        <f>VLOOKUP(E860, Sales_Reps!$A$2:$E$31, 3, FALSE)</f>
        <v>North</v>
      </c>
      <c r="N864">
        <f>VLOOKUP(D864, Products!$A$2:$F$61, 4, FALSE)</f>
        <v>1860</v>
      </c>
    </row>
    <row r="865" spans="1:14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 t="str">
        <f>VLOOKUP(D865, Products!$A$2:$F$61, 3, FALSE)</f>
        <v>Electronics</v>
      </c>
      <c r="M865" t="str">
        <f>VLOOKUP(E861, Sales_Reps!$A$2:$E$31, 3, FALSE)</f>
        <v>North</v>
      </c>
      <c r="N865">
        <f>VLOOKUP(D865, Products!$A$2:$F$61, 4, FALSE)</f>
        <v>1149</v>
      </c>
    </row>
    <row r="866" spans="1:14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 t="str">
        <f>VLOOKUP(D866, Products!$A$2:$F$61, 3, FALSE)</f>
        <v>Electronics</v>
      </c>
      <c r="M866" t="str">
        <f>VLOOKUP(E862, Sales_Reps!$A$2:$E$31, 3, FALSE)</f>
        <v>West</v>
      </c>
      <c r="N866">
        <f>VLOOKUP(D866, Products!$A$2:$F$61, 4, FALSE)</f>
        <v>128</v>
      </c>
    </row>
    <row r="867" spans="1:14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 t="str">
        <f>VLOOKUP(D867, Products!$A$2:$F$61, 3, FALSE)</f>
        <v>Sports</v>
      </c>
      <c r="M867" t="str">
        <f>VLOOKUP(E863, Sales_Reps!$A$2:$E$31, 3, FALSE)</f>
        <v>West</v>
      </c>
      <c r="N867">
        <f>VLOOKUP(D867, Products!$A$2:$F$61, 4, FALSE)</f>
        <v>974</v>
      </c>
    </row>
    <row r="868" spans="1:14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 t="str">
        <f>VLOOKUP(D868, Products!$A$2:$F$61, 3, FALSE)</f>
        <v>Home</v>
      </c>
      <c r="M868" t="str">
        <f>VLOOKUP(E864, Sales_Reps!$A$2:$E$31, 3, FALSE)</f>
        <v>West</v>
      </c>
      <c r="N868">
        <f>VLOOKUP(D868, Products!$A$2:$F$61, 4, FALSE)</f>
        <v>519</v>
      </c>
    </row>
    <row r="869" spans="1:14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 t="str">
        <f>VLOOKUP(D869, Products!$A$2:$F$61, 3, FALSE)</f>
        <v>Home</v>
      </c>
      <c r="M869" t="str">
        <f>VLOOKUP(E865, Sales_Reps!$A$2:$E$31, 3, FALSE)</f>
        <v>North</v>
      </c>
      <c r="N869">
        <f>VLOOKUP(D869, Products!$A$2:$F$61, 4, FALSE)</f>
        <v>1556</v>
      </c>
    </row>
    <row r="870" spans="1:14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 t="str">
        <f>VLOOKUP(D870, Products!$A$2:$F$61, 3, FALSE)</f>
        <v>Home</v>
      </c>
      <c r="M870" t="str">
        <f>VLOOKUP(E866, Sales_Reps!$A$2:$E$31, 3, FALSE)</f>
        <v>West</v>
      </c>
      <c r="N870">
        <f>VLOOKUP(D870, Products!$A$2:$F$61, 4, FALSE)</f>
        <v>288</v>
      </c>
    </row>
    <row r="871" spans="1:14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 t="str">
        <f>VLOOKUP(D871, Products!$A$2:$F$61, 3, FALSE)</f>
        <v>Home</v>
      </c>
      <c r="M871" t="str">
        <f>VLOOKUP(E867, Sales_Reps!$A$2:$E$31, 3, FALSE)</f>
        <v>South</v>
      </c>
      <c r="N871">
        <f>VLOOKUP(D871, Products!$A$2:$F$61, 4, FALSE)</f>
        <v>2549</v>
      </c>
    </row>
    <row r="872" spans="1:14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 t="str">
        <f>VLOOKUP(D872, Products!$A$2:$F$61, 3, FALSE)</f>
        <v>Electronics</v>
      </c>
      <c r="M872" t="str">
        <f>VLOOKUP(E868, Sales_Reps!$A$2:$E$31, 3, FALSE)</f>
        <v>West</v>
      </c>
      <c r="N872">
        <f>VLOOKUP(D872, Products!$A$2:$F$61, 4, FALSE)</f>
        <v>2865</v>
      </c>
    </row>
    <row r="873" spans="1:14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 t="str">
        <f>VLOOKUP(D873, Products!$A$2:$F$61, 3, FALSE)</f>
        <v>Electronics</v>
      </c>
      <c r="M873" t="str">
        <f>VLOOKUP(E869, Sales_Reps!$A$2:$E$31, 3, FALSE)</f>
        <v>North</v>
      </c>
      <c r="N873">
        <f>VLOOKUP(D873, Products!$A$2:$F$61, 4, FALSE)</f>
        <v>517</v>
      </c>
    </row>
    <row r="874" spans="1:14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 t="str">
        <f>VLOOKUP(D874, Products!$A$2:$F$61, 3, FALSE)</f>
        <v>Apparel</v>
      </c>
      <c r="M874" t="str">
        <f>VLOOKUP(E870, Sales_Reps!$A$2:$E$31, 3, FALSE)</f>
        <v>East</v>
      </c>
      <c r="N874">
        <f>VLOOKUP(D874, Products!$A$2:$F$61, 4, FALSE)</f>
        <v>1886</v>
      </c>
    </row>
    <row r="875" spans="1:14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 t="str">
        <f>VLOOKUP(D875, Products!$A$2:$F$61, 3, FALSE)</f>
        <v>Electronics</v>
      </c>
      <c r="M875" t="str">
        <f>VLOOKUP(E871, Sales_Reps!$A$2:$E$31, 3, FALSE)</f>
        <v>West</v>
      </c>
      <c r="N875">
        <f>VLOOKUP(D875, Products!$A$2:$F$61, 4, FALSE)</f>
        <v>128</v>
      </c>
    </row>
    <row r="876" spans="1:14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 t="str">
        <f>VLOOKUP(D876, Products!$A$2:$F$61, 3, FALSE)</f>
        <v>Beauty</v>
      </c>
      <c r="M876" t="str">
        <f>VLOOKUP(E872, Sales_Reps!$A$2:$E$31, 3, FALSE)</f>
        <v>West</v>
      </c>
      <c r="N876">
        <f>VLOOKUP(D876, Products!$A$2:$F$61, 4, FALSE)</f>
        <v>2420</v>
      </c>
    </row>
    <row r="877" spans="1:14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 t="str">
        <f>VLOOKUP(D877, Products!$A$2:$F$61, 3, FALSE)</f>
        <v>Apparel</v>
      </c>
      <c r="M877" t="str">
        <f>VLOOKUP(E873, Sales_Reps!$A$2:$E$31, 3, FALSE)</f>
        <v>North</v>
      </c>
      <c r="N877">
        <f>VLOOKUP(D877, Products!$A$2:$F$61, 4, FALSE)</f>
        <v>2509</v>
      </c>
    </row>
    <row r="878" spans="1:14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 t="str">
        <f>VLOOKUP(D878, Products!$A$2:$F$61, 3, FALSE)</f>
        <v>Grocery</v>
      </c>
      <c r="M878" t="str">
        <f>VLOOKUP(E874, Sales_Reps!$A$2:$E$31, 3, FALSE)</f>
        <v>West</v>
      </c>
      <c r="N878">
        <f>VLOOKUP(D878, Products!$A$2:$F$61, 4, FALSE)</f>
        <v>1203</v>
      </c>
    </row>
    <row r="879" spans="1:14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 t="str">
        <f>VLOOKUP(D879, Products!$A$2:$F$61, 3, FALSE)</f>
        <v>Apparel</v>
      </c>
      <c r="M879" t="str">
        <f>VLOOKUP(E875, Sales_Reps!$A$2:$E$31, 3, FALSE)</f>
        <v>North</v>
      </c>
      <c r="N879">
        <f>VLOOKUP(D879, Products!$A$2:$F$61, 4, FALSE)</f>
        <v>1962</v>
      </c>
    </row>
    <row r="880" spans="1:14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 t="str">
        <f>VLOOKUP(D880, Products!$A$2:$F$61, 3, FALSE)</f>
        <v>Grocery</v>
      </c>
      <c r="M880" t="str">
        <f>VLOOKUP(E876, Sales_Reps!$A$2:$E$31, 3, FALSE)</f>
        <v>West</v>
      </c>
      <c r="N880">
        <f>VLOOKUP(D880, Products!$A$2:$F$61, 4, FALSE)</f>
        <v>2436</v>
      </c>
    </row>
    <row r="881" spans="1:14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 t="str">
        <f>VLOOKUP(D881, Products!$A$2:$F$61, 3, FALSE)</f>
        <v>Grocery</v>
      </c>
      <c r="M881" t="str">
        <f>VLOOKUP(E877, Sales_Reps!$A$2:$E$31, 3, FALSE)</f>
        <v>West</v>
      </c>
      <c r="N881">
        <f>VLOOKUP(D881, Products!$A$2:$F$61, 4, FALSE)</f>
        <v>2911</v>
      </c>
    </row>
    <row r="882" spans="1:14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 t="str">
        <f>VLOOKUP(D882, Products!$A$2:$F$61, 3, FALSE)</f>
        <v>Grocery</v>
      </c>
      <c r="M882" t="str">
        <f>VLOOKUP(E878, Sales_Reps!$A$2:$E$31, 3, FALSE)</f>
        <v>South</v>
      </c>
      <c r="N882">
        <f>VLOOKUP(D882, Products!$A$2:$F$61, 4, FALSE)</f>
        <v>1435</v>
      </c>
    </row>
    <row r="883" spans="1:14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 t="str">
        <f>VLOOKUP(D883, Products!$A$2:$F$61, 3, FALSE)</f>
        <v>Home</v>
      </c>
      <c r="M883" t="str">
        <f>VLOOKUP(E879, Sales_Reps!$A$2:$E$31, 3, FALSE)</f>
        <v>West</v>
      </c>
      <c r="N883">
        <f>VLOOKUP(D883, Products!$A$2:$F$61, 4, FALSE)</f>
        <v>519</v>
      </c>
    </row>
    <row r="884" spans="1:14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 t="str">
        <f>VLOOKUP(D884, Products!$A$2:$F$61, 3, FALSE)</f>
        <v>Home</v>
      </c>
      <c r="M884" t="str">
        <f>VLOOKUP(E880, Sales_Reps!$A$2:$E$31, 3, FALSE)</f>
        <v>East</v>
      </c>
      <c r="N884">
        <f>VLOOKUP(D884, Products!$A$2:$F$61, 4, FALSE)</f>
        <v>2459</v>
      </c>
    </row>
    <row r="885" spans="1:14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 t="str">
        <f>VLOOKUP(D885, Products!$A$2:$F$61, 3, FALSE)</f>
        <v>Beauty</v>
      </c>
      <c r="M885" t="str">
        <f>VLOOKUP(E881, Sales_Reps!$A$2:$E$31, 3, FALSE)</f>
        <v>South</v>
      </c>
      <c r="N885">
        <f>VLOOKUP(D885, Products!$A$2:$F$61, 4, FALSE)</f>
        <v>2768</v>
      </c>
    </row>
    <row r="886" spans="1:14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 t="str">
        <f>VLOOKUP(D886, Products!$A$2:$F$61, 3, FALSE)</f>
        <v>Grocery</v>
      </c>
      <c r="M886" t="str">
        <f>VLOOKUP(E882, Sales_Reps!$A$2:$E$31, 3, FALSE)</f>
        <v>South</v>
      </c>
      <c r="N886">
        <f>VLOOKUP(D886, Products!$A$2:$F$61, 4, FALSE)</f>
        <v>1412</v>
      </c>
    </row>
    <row r="887" spans="1:14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 t="str">
        <f>VLOOKUP(D887, Products!$A$2:$F$61, 3, FALSE)</f>
        <v>Electronics</v>
      </c>
      <c r="M887" t="str">
        <f>VLOOKUP(E883, Sales_Reps!$A$2:$E$31, 3, FALSE)</f>
        <v>East</v>
      </c>
      <c r="N887">
        <f>VLOOKUP(D887, Products!$A$2:$F$61, 4, FALSE)</f>
        <v>2865</v>
      </c>
    </row>
    <row r="888" spans="1:14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 t="str">
        <f>VLOOKUP(D888, Products!$A$2:$F$61, 3, FALSE)</f>
        <v>Beauty</v>
      </c>
      <c r="M888" t="str">
        <f>VLOOKUP(E884, Sales_Reps!$A$2:$E$31, 3, FALSE)</f>
        <v>East</v>
      </c>
      <c r="N888">
        <f>VLOOKUP(D888, Products!$A$2:$F$61, 4, FALSE)</f>
        <v>2237</v>
      </c>
    </row>
    <row r="889" spans="1:14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 t="str">
        <f>VLOOKUP(D889, Products!$A$2:$F$61, 3, FALSE)</f>
        <v>Sports</v>
      </c>
      <c r="M889" t="str">
        <f>VLOOKUP(E885, Sales_Reps!$A$2:$E$31, 3, FALSE)</f>
        <v>West</v>
      </c>
      <c r="N889">
        <f>VLOOKUP(D889, Products!$A$2:$F$61, 4, FALSE)</f>
        <v>147</v>
      </c>
    </row>
    <row r="890" spans="1:14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 t="str">
        <f>VLOOKUP(D890, Products!$A$2:$F$61, 3, FALSE)</f>
        <v>Beauty</v>
      </c>
      <c r="M890" t="str">
        <f>VLOOKUP(E886, Sales_Reps!$A$2:$E$31, 3, FALSE)</f>
        <v>West</v>
      </c>
      <c r="N890">
        <f>VLOOKUP(D890, Products!$A$2:$F$61, 4, FALSE)</f>
        <v>2617</v>
      </c>
    </row>
    <row r="891" spans="1:14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 t="str">
        <f>VLOOKUP(D891, Products!$A$2:$F$61, 3, FALSE)</f>
        <v>Sports</v>
      </c>
      <c r="M891" t="str">
        <f>VLOOKUP(E887, Sales_Reps!$A$2:$E$31, 3, FALSE)</f>
        <v>East</v>
      </c>
      <c r="N891">
        <f>VLOOKUP(D891, Products!$A$2:$F$61, 4, FALSE)</f>
        <v>705</v>
      </c>
    </row>
    <row r="892" spans="1:14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 t="str">
        <f>VLOOKUP(D892, Products!$A$2:$F$61, 3, FALSE)</f>
        <v>Beauty</v>
      </c>
      <c r="M892" t="str">
        <f>VLOOKUP(E888, Sales_Reps!$A$2:$E$31, 3, FALSE)</f>
        <v>North</v>
      </c>
      <c r="N892">
        <f>VLOOKUP(D892, Products!$A$2:$F$61, 4, FALSE)</f>
        <v>647</v>
      </c>
    </row>
    <row r="893" spans="1:14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 t="str">
        <f>VLOOKUP(D893, Products!$A$2:$F$61, 3, FALSE)</f>
        <v>Electronics</v>
      </c>
      <c r="M893" t="str">
        <f>VLOOKUP(E889, Sales_Reps!$A$2:$E$31, 3, FALSE)</f>
        <v>North</v>
      </c>
      <c r="N893">
        <f>VLOOKUP(D893, Products!$A$2:$F$61, 4, FALSE)</f>
        <v>128</v>
      </c>
    </row>
    <row r="894" spans="1:14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 t="str">
        <f>VLOOKUP(D894, Products!$A$2:$F$61, 3, FALSE)</f>
        <v>Beauty</v>
      </c>
      <c r="M894" t="str">
        <f>VLOOKUP(E890, Sales_Reps!$A$2:$E$31, 3, FALSE)</f>
        <v>West</v>
      </c>
      <c r="N894">
        <f>VLOOKUP(D894, Products!$A$2:$F$61, 4, FALSE)</f>
        <v>2768</v>
      </c>
    </row>
    <row r="895" spans="1:14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 t="str">
        <f>VLOOKUP(D895, Products!$A$2:$F$61, 3, FALSE)</f>
        <v>Home</v>
      </c>
      <c r="M895" t="str">
        <f>VLOOKUP(E891, Sales_Reps!$A$2:$E$31, 3, FALSE)</f>
        <v>East</v>
      </c>
      <c r="N895">
        <f>VLOOKUP(D895, Products!$A$2:$F$61, 4, FALSE)</f>
        <v>288</v>
      </c>
    </row>
    <row r="896" spans="1:14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 t="str">
        <f>VLOOKUP(D896, Products!$A$2:$F$61, 3, FALSE)</f>
        <v>Home</v>
      </c>
      <c r="M896" t="str">
        <f>VLOOKUP(E892, Sales_Reps!$A$2:$E$31, 3, FALSE)</f>
        <v>North</v>
      </c>
      <c r="N896">
        <f>VLOOKUP(D896, Products!$A$2:$F$61, 4, FALSE)</f>
        <v>1850</v>
      </c>
    </row>
    <row r="897" spans="1:14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 t="str">
        <f>VLOOKUP(D897, Products!$A$2:$F$61, 3, FALSE)</f>
        <v>Electronics</v>
      </c>
      <c r="M897" t="str">
        <f>VLOOKUP(E893, Sales_Reps!$A$2:$E$31, 3, FALSE)</f>
        <v>South</v>
      </c>
      <c r="N897">
        <f>VLOOKUP(D897, Products!$A$2:$F$61, 4, FALSE)</f>
        <v>1052</v>
      </c>
    </row>
    <row r="898" spans="1:14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 t="str">
        <f>VLOOKUP(D898, Products!$A$2:$F$61, 3, FALSE)</f>
        <v>Electronics</v>
      </c>
      <c r="M898" t="str">
        <f>VLOOKUP(E894, Sales_Reps!$A$2:$E$31, 3, FALSE)</f>
        <v>South</v>
      </c>
      <c r="N898">
        <f>VLOOKUP(D898, Products!$A$2:$F$61, 4, FALSE)</f>
        <v>517</v>
      </c>
    </row>
    <row r="899" spans="1:14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 t="str">
        <f>VLOOKUP(D899, Products!$A$2:$F$61, 3, FALSE)</f>
        <v>Electronics</v>
      </c>
      <c r="M899" t="str">
        <f>VLOOKUP(E895, Sales_Reps!$A$2:$E$31, 3, FALSE)</f>
        <v>North</v>
      </c>
      <c r="N899">
        <f>VLOOKUP(D899, Products!$A$2:$F$61, 4, FALSE)</f>
        <v>861</v>
      </c>
    </row>
    <row r="900" spans="1:14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 t="str">
        <f>VLOOKUP(D900, Products!$A$2:$F$61, 3, FALSE)</f>
        <v>Beauty</v>
      </c>
      <c r="M900" t="str">
        <f>VLOOKUP(E896, Sales_Reps!$A$2:$E$31, 3, FALSE)</f>
        <v>North</v>
      </c>
      <c r="N900">
        <f>VLOOKUP(D900, Products!$A$2:$F$61, 4, FALSE)</f>
        <v>2768</v>
      </c>
    </row>
    <row r="901" spans="1:14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 t="str">
        <f>VLOOKUP(D901, Products!$A$2:$F$61, 3, FALSE)</f>
        <v>Beauty</v>
      </c>
      <c r="M901" t="str">
        <f>VLOOKUP(E897, Sales_Reps!$A$2:$E$31, 3, FALSE)</f>
        <v>South</v>
      </c>
      <c r="N901">
        <f>VLOOKUP(D901, Products!$A$2:$F$61, 4, FALSE)</f>
        <v>2617</v>
      </c>
    </row>
    <row r="902" spans="1:14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 t="str">
        <f>VLOOKUP(D902, Products!$A$2:$F$61, 3, FALSE)</f>
        <v>Beauty</v>
      </c>
      <c r="M902" t="str">
        <f>VLOOKUP(E898, Sales_Reps!$A$2:$E$31, 3, FALSE)</f>
        <v>West</v>
      </c>
      <c r="N902">
        <f>VLOOKUP(D902, Products!$A$2:$F$61, 4, FALSE)</f>
        <v>1626</v>
      </c>
    </row>
    <row r="903" spans="1:14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 t="str">
        <f>VLOOKUP(D903, Products!$A$2:$F$61, 3, FALSE)</f>
        <v>Apparel</v>
      </c>
      <c r="M903" t="str">
        <f>VLOOKUP(E899, Sales_Reps!$A$2:$E$31, 3, FALSE)</f>
        <v>South</v>
      </c>
      <c r="N903">
        <f>VLOOKUP(D903, Products!$A$2:$F$61, 4, FALSE)</f>
        <v>1962</v>
      </c>
    </row>
    <row r="904" spans="1:14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 t="str">
        <f>VLOOKUP(D904, Products!$A$2:$F$61, 3, FALSE)</f>
        <v>Electronics</v>
      </c>
      <c r="M904" t="str">
        <f>VLOOKUP(E900, Sales_Reps!$A$2:$E$31, 3, FALSE)</f>
        <v>West</v>
      </c>
      <c r="N904">
        <f>VLOOKUP(D904, Products!$A$2:$F$61, 4, FALSE)</f>
        <v>1665</v>
      </c>
    </row>
    <row r="905" spans="1:14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 t="str">
        <f>VLOOKUP(D905, Products!$A$2:$F$61, 3, FALSE)</f>
        <v>Home</v>
      </c>
      <c r="M905" t="str">
        <f>VLOOKUP(E901, Sales_Reps!$A$2:$E$31, 3, FALSE)</f>
        <v>West</v>
      </c>
      <c r="N905">
        <f>VLOOKUP(D905, Products!$A$2:$F$61, 4, FALSE)</f>
        <v>519</v>
      </c>
    </row>
    <row r="906" spans="1:14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 t="str">
        <f>VLOOKUP(D906, Products!$A$2:$F$61, 3, FALSE)</f>
        <v>Home</v>
      </c>
      <c r="M906" t="str">
        <f>VLOOKUP(E902, Sales_Reps!$A$2:$E$31, 3, FALSE)</f>
        <v>South</v>
      </c>
      <c r="N906">
        <f>VLOOKUP(D906, Products!$A$2:$F$61, 4, FALSE)</f>
        <v>464</v>
      </c>
    </row>
    <row r="907" spans="1:14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 t="str">
        <f>VLOOKUP(D907, Products!$A$2:$F$61, 3, FALSE)</f>
        <v>Apparel</v>
      </c>
      <c r="M907" t="str">
        <f>VLOOKUP(E903, Sales_Reps!$A$2:$E$31, 3, FALSE)</f>
        <v>South</v>
      </c>
      <c r="N907">
        <f>VLOOKUP(D907, Products!$A$2:$F$61, 4, FALSE)</f>
        <v>2629</v>
      </c>
    </row>
    <row r="908" spans="1:14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 t="str">
        <f>VLOOKUP(D908, Products!$A$2:$F$61, 3, FALSE)</f>
        <v>Sports</v>
      </c>
      <c r="M908" t="str">
        <f>VLOOKUP(E904, Sales_Reps!$A$2:$E$31, 3, FALSE)</f>
        <v>West</v>
      </c>
      <c r="N908">
        <f>VLOOKUP(D908, Products!$A$2:$F$61, 4, FALSE)</f>
        <v>147</v>
      </c>
    </row>
    <row r="909" spans="1:14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 t="str">
        <f>VLOOKUP(D909, Products!$A$2:$F$61, 3, FALSE)</f>
        <v>Grocery</v>
      </c>
      <c r="M909" t="str">
        <f>VLOOKUP(E905, Sales_Reps!$A$2:$E$31, 3, FALSE)</f>
        <v>South</v>
      </c>
      <c r="N909">
        <f>VLOOKUP(D909, Products!$A$2:$F$61, 4, FALSE)</f>
        <v>2911</v>
      </c>
    </row>
    <row r="910" spans="1:14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 t="str">
        <f>VLOOKUP(D910, Products!$A$2:$F$61, 3, FALSE)</f>
        <v>Home</v>
      </c>
      <c r="M910" t="str">
        <f>VLOOKUP(E906, Sales_Reps!$A$2:$E$31, 3, FALSE)</f>
        <v>South</v>
      </c>
      <c r="N910">
        <f>VLOOKUP(D910, Products!$A$2:$F$61, 4, FALSE)</f>
        <v>1850</v>
      </c>
    </row>
    <row r="911" spans="1:14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 t="str">
        <f>VLOOKUP(D911, Products!$A$2:$F$61, 3, FALSE)</f>
        <v>Grocery</v>
      </c>
      <c r="M911" t="str">
        <f>VLOOKUP(E907, Sales_Reps!$A$2:$E$31, 3, FALSE)</f>
        <v>West</v>
      </c>
      <c r="N911">
        <f>VLOOKUP(D911, Products!$A$2:$F$61, 4, FALSE)</f>
        <v>2027</v>
      </c>
    </row>
    <row r="912" spans="1:14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 t="str">
        <f>VLOOKUP(D912, Products!$A$2:$F$61, 3, FALSE)</f>
        <v>Apparel</v>
      </c>
      <c r="M912" t="str">
        <f>VLOOKUP(E908, Sales_Reps!$A$2:$E$31, 3, FALSE)</f>
        <v>East</v>
      </c>
      <c r="N912">
        <f>VLOOKUP(D912, Products!$A$2:$F$61, 4, FALSE)</f>
        <v>2509</v>
      </c>
    </row>
    <row r="913" spans="1:14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 t="str">
        <f>VLOOKUP(D913, Products!$A$2:$F$61, 3, FALSE)</f>
        <v>Electronics</v>
      </c>
      <c r="M913" t="str">
        <f>VLOOKUP(E909, Sales_Reps!$A$2:$E$31, 3, FALSE)</f>
        <v>West</v>
      </c>
      <c r="N913">
        <f>VLOOKUP(D913, Products!$A$2:$F$61, 4, FALSE)</f>
        <v>2865</v>
      </c>
    </row>
    <row r="914" spans="1:14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 t="str">
        <f>VLOOKUP(D914, Products!$A$2:$F$61, 3, FALSE)</f>
        <v>Grocery</v>
      </c>
      <c r="M914" t="str">
        <f>VLOOKUP(E910, Sales_Reps!$A$2:$E$31, 3, FALSE)</f>
        <v>East</v>
      </c>
      <c r="N914">
        <f>VLOOKUP(D914, Products!$A$2:$F$61, 4, FALSE)</f>
        <v>434</v>
      </c>
    </row>
    <row r="915" spans="1:14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 t="str">
        <f>VLOOKUP(D915, Products!$A$2:$F$61, 3, FALSE)</f>
        <v>Sports</v>
      </c>
      <c r="M915" t="str">
        <f>VLOOKUP(E911, Sales_Reps!$A$2:$E$31, 3, FALSE)</f>
        <v>East</v>
      </c>
      <c r="N915">
        <f>VLOOKUP(D915, Products!$A$2:$F$61, 4, FALSE)</f>
        <v>705</v>
      </c>
    </row>
    <row r="916" spans="1:14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 t="str">
        <f>VLOOKUP(D916, Products!$A$2:$F$61, 3, FALSE)</f>
        <v>Electronics</v>
      </c>
      <c r="M916" t="str">
        <f>VLOOKUP(E912, Sales_Reps!$A$2:$E$31, 3, FALSE)</f>
        <v>North</v>
      </c>
      <c r="N916">
        <f>VLOOKUP(D916, Products!$A$2:$F$61, 4, FALSE)</f>
        <v>128</v>
      </c>
    </row>
    <row r="917" spans="1:14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 t="str">
        <f>VLOOKUP(D917, Products!$A$2:$F$61, 3, FALSE)</f>
        <v>Electronics</v>
      </c>
      <c r="M917" t="str">
        <f>VLOOKUP(E913, Sales_Reps!$A$2:$E$31, 3, FALSE)</f>
        <v>West</v>
      </c>
      <c r="N917">
        <f>VLOOKUP(D917, Products!$A$2:$F$61, 4, FALSE)</f>
        <v>1052</v>
      </c>
    </row>
    <row r="918" spans="1:14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 t="str">
        <f>VLOOKUP(D918, Products!$A$2:$F$61, 3, FALSE)</f>
        <v>Home</v>
      </c>
      <c r="M918" t="str">
        <f>VLOOKUP(E914, Sales_Reps!$A$2:$E$31, 3, FALSE)</f>
        <v>West</v>
      </c>
      <c r="N918">
        <f>VLOOKUP(D918, Products!$A$2:$F$61, 4, FALSE)</f>
        <v>288</v>
      </c>
    </row>
    <row r="919" spans="1:14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 t="str">
        <f>VLOOKUP(D919, Products!$A$2:$F$61, 3, FALSE)</f>
        <v>Beauty</v>
      </c>
      <c r="M919" t="str">
        <f>VLOOKUP(E915, Sales_Reps!$A$2:$E$31, 3, FALSE)</f>
        <v>East</v>
      </c>
      <c r="N919">
        <f>VLOOKUP(D919, Products!$A$2:$F$61, 4, FALSE)</f>
        <v>2420</v>
      </c>
    </row>
    <row r="920" spans="1:14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 t="str">
        <f>VLOOKUP(D920, Products!$A$2:$F$61, 3, FALSE)</f>
        <v>Apparel</v>
      </c>
      <c r="M920" t="str">
        <f>VLOOKUP(E916, Sales_Reps!$A$2:$E$31, 3, FALSE)</f>
        <v>South</v>
      </c>
      <c r="N920">
        <f>VLOOKUP(D920, Products!$A$2:$F$61, 4, FALSE)</f>
        <v>1173</v>
      </c>
    </row>
    <row r="921" spans="1:14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 t="str">
        <f>VLOOKUP(D921, Products!$A$2:$F$61, 3, FALSE)</f>
        <v>Grocery</v>
      </c>
      <c r="M921" t="str">
        <f>VLOOKUP(E917, Sales_Reps!$A$2:$E$31, 3, FALSE)</f>
        <v>South</v>
      </c>
      <c r="N921">
        <f>VLOOKUP(D921, Products!$A$2:$F$61, 4, FALSE)</f>
        <v>2214</v>
      </c>
    </row>
    <row r="922" spans="1:14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 t="str">
        <f>VLOOKUP(D922, Products!$A$2:$F$61, 3, FALSE)</f>
        <v>Beauty</v>
      </c>
      <c r="M922" t="str">
        <f>VLOOKUP(E918, Sales_Reps!$A$2:$E$31, 3, FALSE)</f>
        <v>North</v>
      </c>
      <c r="N922">
        <f>VLOOKUP(D922, Products!$A$2:$F$61, 4, FALSE)</f>
        <v>1222</v>
      </c>
    </row>
    <row r="923" spans="1:14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 t="str">
        <f>VLOOKUP(D923, Products!$A$2:$F$61, 3, FALSE)</f>
        <v>Sports</v>
      </c>
      <c r="M923" t="str">
        <f>VLOOKUP(E919, Sales_Reps!$A$2:$E$31, 3, FALSE)</f>
        <v>West</v>
      </c>
      <c r="N923">
        <f>VLOOKUP(D923, Products!$A$2:$F$61, 4, FALSE)</f>
        <v>147</v>
      </c>
    </row>
    <row r="924" spans="1:14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 t="str">
        <f>VLOOKUP(D924, Products!$A$2:$F$61, 3, FALSE)</f>
        <v>Grocery</v>
      </c>
      <c r="M924" t="str">
        <f>VLOOKUP(E920, Sales_Reps!$A$2:$E$31, 3, FALSE)</f>
        <v>East</v>
      </c>
      <c r="N924">
        <f>VLOOKUP(D924, Products!$A$2:$F$61, 4, FALSE)</f>
        <v>1412</v>
      </c>
    </row>
    <row r="925" spans="1:14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 t="str">
        <f>VLOOKUP(D925, Products!$A$2:$F$61, 3, FALSE)</f>
        <v>Grocery</v>
      </c>
      <c r="M925" t="str">
        <f>VLOOKUP(E921, Sales_Reps!$A$2:$E$31, 3, FALSE)</f>
        <v>East</v>
      </c>
      <c r="N925">
        <f>VLOOKUP(D925, Products!$A$2:$F$61, 4, FALSE)</f>
        <v>1203</v>
      </c>
    </row>
    <row r="926" spans="1:14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 t="str">
        <f>VLOOKUP(D926, Products!$A$2:$F$61, 3, FALSE)</f>
        <v>Apparel</v>
      </c>
      <c r="M926" t="str">
        <f>VLOOKUP(E922, Sales_Reps!$A$2:$E$31, 3, FALSE)</f>
        <v>East</v>
      </c>
      <c r="N926">
        <f>VLOOKUP(D926, Products!$A$2:$F$61, 4, FALSE)</f>
        <v>1748</v>
      </c>
    </row>
    <row r="927" spans="1:14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 t="str">
        <f>VLOOKUP(D927, Products!$A$2:$F$61, 3, FALSE)</f>
        <v>Beauty</v>
      </c>
      <c r="M927" t="str">
        <f>VLOOKUP(E923, Sales_Reps!$A$2:$E$31, 3, FALSE)</f>
        <v>West</v>
      </c>
      <c r="N927">
        <f>VLOOKUP(D927, Products!$A$2:$F$61, 4, FALSE)</f>
        <v>1626</v>
      </c>
    </row>
    <row r="928" spans="1:14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 t="str">
        <f>VLOOKUP(D928, Products!$A$2:$F$61, 3, FALSE)</f>
        <v>Home</v>
      </c>
      <c r="M928" t="str">
        <f>VLOOKUP(E924, Sales_Reps!$A$2:$E$31, 3, FALSE)</f>
        <v>North</v>
      </c>
      <c r="N928">
        <f>VLOOKUP(D928, Products!$A$2:$F$61, 4, FALSE)</f>
        <v>1143</v>
      </c>
    </row>
    <row r="929" spans="1:14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 t="str">
        <f>VLOOKUP(D929, Products!$A$2:$F$61, 3, FALSE)</f>
        <v>Apparel</v>
      </c>
      <c r="M929" t="str">
        <f>VLOOKUP(E925, Sales_Reps!$A$2:$E$31, 3, FALSE)</f>
        <v>South</v>
      </c>
      <c r="N929">
        <f>VLOOKUP(D929, Products!$A$2:$F$61, 4, FALSE)</f>
        <v>1748</v>
      </c>
    </row>
    <row r="930" spans="1:14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 t="str">
        <f>VLOOKUP(D930, Products!$A$2:$F$61, 3, FALSE)</f>
        <v>Beauty</v>
      </c>
      <c r="M930" t="str">
        <f>VLOOKUP(E926, Sales_Reps!$A$2:$E$31, 3, FALSE)</f>
        <v>East</v>
      </c>
      <c r="N930">
        <f>VLOOKUP(D930, Products!$A$2:$F$61, 4, FALSE)</f>
        <v>675</v>
      </c>
    </row>
    <row r="931" spans="1:14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 t="str">
        <f>VLOOKUP(D931, Products!$A$2:$F$61, 3, FALSE)</f>
        <v>Electronics</v>
      </c>
      <c r="M931" t="str">
        <f>VLOOKUP(E927, Sales_Reps!$A$2:$E$31, 3, FALSE)</f>
        <v>West</v>
      </c>
      <c r="N931">
        <f>VLOOKUP(D931, Products!$A$2:$F$61, 4, FALSE)</f>
        <v>2865</v>
      </c>
    </row>
    <row r="932" spans="1:14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 t="str">
        <f>VLOOKUP(D932, Products!$A$2:$F$61, 3, FALSE)</f>
        <v>Sports</v>
      </c>
      <c r="M932" t="str">
        <f>VLOOKUP(E928, Sales_Reps!$A$2:$E$31, 3, FALSE)</f>
        <v>South</v>
      </c>
      <c r="N932">
        <f>VLOOKUP(D932, Products!$A$2:$F$61, 4, FALSE)</f>
        <v>2265</v>
      </c>
    </row>
    <row r="933" spans="1:14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 t="str">
        <f>VLOOKUP(D933, Products!$A$2:$F$61, 3, FALSE)</f>
        <v>Electronics</v>
      </c>
      <c r="M933" t="str">
        <f>VLOOKUP(E929, Sales_Reps!$A$2:$E$31, 3, FALSE)</f>
        <v>South</v>
      </c>
      <c r="N933">
        <f>VLOOKUP(D933, Products!$A$2:$F$61, 4, FALSE)</f>
        <v>1665</v>
      </c>
    </row>
    <row r="934" spans="1:14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 t="str">
        <f>VLOOKUP(D934, Products!$A$2:$F$61, 3, FALSE)</f>
        <v>Electronics</v>
      </c>
      <c r="M934" t="str">
        <f>VLOOKUP(E930, Sales_Reps!$A$2:$E$31, 3, FALSE)</f>
        <v>West</v>
      </c>
      <c r="N934">
        <f>VLOOKUP(D934, Products!$A$2:$F$61, 4, FALSE)</f>
        <v>1052</v>
      </c>
    </row>
    <row r="935" spans="1:14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 t="str">
        <f>VLOOKUP(D935, Products!$A$2:$F$61, 3, FALSE)</f>
        <v>Sports</v>
      </c>
      <c r="M935" t="str">
        <f>VLOOKUP(E931, Sales_Reps!$A$2:$E$31, 3, FALSE)</f>
        <v>North</v>
      </c>
      <c r="N935">
        <f>VLOOKUP(D935, Products!$A$2:$F$61, 4, FALSE)</f>
        <v>302</v>
      </c>
    </row>
    <row r="936" spans="1:14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 t="str">
        <f>VLOOKUP(D936, Products!$A$2:$F$61, 3, FALSE)</f>
        <v>Sports</v>
      </c>
      <c r="M936" t="str">
        <f>VLOOKUP(E932, Sales_Reps!$A$2:$E$31, 3, FALSE)</f>
        <v>West</v>
      </c>
      <c r="N936">
        <f>VLOOKUP(D936, Products!$A$2:$F$61, 4, FALSE)</f>
        <v>302</v>
      </c>
    </row>
    <row r="937" spans="1:14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 t="str">
        <f>VLOOKUP(D937, Products!$A$2:$F$61, 3, FALSE)</f>
        <v>Sports</v>
      </c>
      <c r="M937" t="str">
        <f>VLOOKUP(E933, Sales_Reps!$A$2:$E$31, 3, FALSE)</f>
        <v>North</v>
      </c>
      <c r="N937">
        <f>VLOOKUP(D937, Products!$A$2:$F$61, 4, FALSE)</f>
        <v>1860</v>
      </c>
    </row>
    <row r="938" spans="1:14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 t="str">
        <f>VLOOKUP(D938, Products!$A$2:$F$61, 3, FALSE)</f>
        <v>Sports</v>
      </c>
      <c r="M938" t="str">
        <f>VLOOKUP(E934, Sales_Reps!$A$2:$E$31, 3, FALSE)</f>
        <v>South</v>
      </c>
      <c r="N938">
        <f>VLOOKUP(D938, Products!$A$2:$F$61, 4, FALSE)</f>
        <v>2827</v>
      </c>
    </row>
    <row r="939" spans="1:14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 t="str">
        <f>VLOOKUP(D939, Products!$A$2:$F$61, 3, FALSE)</f>
        <v>Electronics</v>
      </c>
      <c r="M939" t="str">
        <f>VLOOKUP(E935, Sales_Reps!$A$2:$E$31, 3, FALSE)</f>
        <v>West</v>
      </c>
      <c r="N939">
        <f>VLOOKUP(D939, Products!$A$2:$F$61, 4, FALSE)</f>
        <v>1559</v>
      </c>
    </row>
    <row r="940" spans="1:14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 t="str">
        <f>VLOOKUP(D940, Products!$A$2:$F$61, 3, FALSE)</f>
        <v>Sports</v>
      </c>
      <c r="M940" t="str">
        <f>VLOOKUP(E936, Sales_Reps!$A$2:$E$31, 3, FALSE)</f>
        <v>West</v>
      </c>
      <c r="N940">
        <f>VLOOKUP(D940, Products!$A$2:$F$61, 4, FALSE)</f>
        <v>2265</v>
      </c>
    </row>
    <row r="941" spans="1:14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 t="str">
        <f>VLOOKUP(D941, Products!$A$2:$F$61, 3, FALSE)</f>
        <v>Electronics</v>
      </c>
      <c r="M941" t="str">
        <f>VLOOKUP(E937, Sales_Reps!$A$2:$E$31, 3, FALSE)</f>
        <v>North</v>
      </c>
      <c r="N941">
        <f>VLOOKUP(D941, Products!$A$2:$F$61, 4, FALSE)</f>
        <v>2865</v>
      </c>
    </row>
    <row r="942" spans="1:14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 t="str">
        <f>VLOOKUP(D942, Products!$A$2:$F$61, 3, FALSE)</f>
        <v>Sports</v>
      </c>
      <c r="M942" t="str">
        <f>VLOOKUP(E938, Sales_Reps!$A$2:$E$31, 3, FALSE)</f>
        <v>East</v>
      </c>
      <c r="N942">
        <f>VLOOKUP(D942, Products!$A$2:$F$61, 4, FALSE)</f>
        <v>2827</v>
      </c>
    </row>
    <row r="943" spans="1:14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 t="str">
        <f>VLOOKUP(D943, Products!$A$2:$F$61, 3, FALSE)</f>
        <v>Apparel</v>
      </c>
      <c r="M943" t="str">
        <f>VLOOKUP(E939, Sales_Reps!$A$2:$E$31, 3, FALSE)</f>
        <v>West</v>
      </c>
      <c r="N943">
        <f>VLOOKUP(D943, Products!$A$2:$F$61, 4, FALSE)</f>
        <v>1886</v>
      </c>
    </row>
    <row r="944" spans="1:14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 t="str">
        <f>VLOOKUP(D944, Products!$A$2:$F$61, 3, FALSE)</f>
        <v>Apparel</v>
      </c>
      <c r="M944" t="str">
        <f>VLOOKUP(E940, Sales_Reps!$A$2:$E$31, 3, FALSE)</f>
        <v>South</v>
      </c>
      <c r="N944">
        <f>VLOOKUP(D944, Products!$A$2:$F$61, 4, FALSE)</f>
        <v>391</v>
      </c>
    </row>
    <row r="945" spans="1:14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 t="str">
        <f>VLOOKUP(D945, Products!$A$2:$F$61, 3, FALSE)</f>
        <v>Beauty</v>
      </c>
      <c r="M945" t="str">
        <f>VLOOKUP(E941, Sales_Reps!$A$2:$E$31, 3, FALSE)</f>
        <v>West</v>
      </c>
      <c r="N945">
        <f>VLOOKUP(D945, Products!$A$2:$F$61, 4, FALSE)</f>
        <v>647</v>
      </c>
    </row>
    <row r="946" spans="1:14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 t="str">
        <f>VLOOKUP(D946, Products!$A$2:$F$61, 3, FALSE)</f>
        <v>Electronics</v>
      </c>
      <c r="M946" t="str">
        <f>VLOOKUP(E942, Sales_Reps!$A$2:$E$31, 3, FALSE)</f>
        <v>North</v>
      </c>
      <c r="N946">
        <f>VLOOKUP(D946, Products!$A$2:$F$61, 4, FALSE)</f>
        <v>1559</v>
      </c>
    </row>
    <row r="947" spans="1:14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 t="str">
        <f>VLOOKUP(D947, Products!$A$2:$F$61, 3, FALSE)</f>
        <v>Electronics</v>
      </c>
      <c r="M947" t="str">
        <f>VLOOKUP(E943, Sales_Reps!$A$2:$E$31, 3, FALSE)</f>
        <v>North</v>
      </c>
      <c r="N947">
        <f>VLOOKUP(D947, Products!$A$2:$F$61, 4, FALSE)</f>
        <v>1259</v>
      </c>
    </row>
    <row r="948" spans="1:14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 t="str">
        <f>VLOOKUP(D948, Products!$A$2:$F$61, 3, FALSE)</f>
        <v>Electronics</v>
      </c>
      <c r="M948" t="str">
        <f>VLOOKUP(E944, Sales_Reps!$A$2:$E$31, 3, FALSE)</f>
        <v>West</v>
      </c>
      <c r="N948">
        <f>VLOOKUP(D948, Products!$A$2:$F$61, 4, FALSE)</f>
        <v>1665</v>
      </c>
    </row>
    <row r="949" spans="1:14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 t="str">
        <f>VLOOKUP(D949, Products!$A$2:$F$61, 3, FALSE)</f>
        <v>Home</v>
      </c>
      <c r="M949" t="str">
        <f>VLOOKUP(E945, Sales_Reps!$A$2:$E$31, 3, FALSE)</f>
        <v>West</v>
      </c>
      <c r="N949">
        <f>VLOOKUP(D949, Products!$A$2:$F$61, 4, FALSE)</f>
        <v>1143</v>
      </c>
    </row>
    <row r="950" spans="1:14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 t="str">
        <f>VLOOKUP(D950, Products!$A$2:$F$61, 3, FALSE)</f>
        <v>Apparel</v>
      </c>
      <c r="M950" t="str">
        <f>VLOOKUP(E946, Sales_Reps!$A$2:$E$31, 3, FALSE)</f>
        <v>North</v>
      </c>
      <c r="N950">
        <f>VLOOKUP(D950, Products!$A$2:$F$61, 4, FALSE)</f>
        <v>1886</v>
      </c>
    </row>
    <row r="951" spans="1:14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 t="str">
        <f>VLOOKUP(D951, Products!$A$2:$F$61, 3, FALSE)</f>
        <v>Home</v>
      </c>
      <c r="M951" t="str">
        <f>VLOOKUP(E947, Sales_Reps!$A$2:$E$31, 3, FALSE)</f>
        <v>North</v>
      </c>
      <c r="N951">
        <f>VLOOKUP(D951, Products!$A$2:$F$61, 4, FALSE)</f>
        <v>2459</v>
      </c>
    </row>
    <row r="952" spans="1:14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 t="str">
        <f>VLOOKUP(D952, Products!$A$2:$F$61, 3, FALSE)</f>
        <v>Beauty</v>
      </c>
      <c r="M952" t="str">
        <f>VLOOKUP(E948, Sales_Reps!$A$2:$E$31, 3, FALSE)</f>
        <v>South</v>
      </c>
      <c r="N952">
        <f>VLOOKUP(D952, Products!$A$2:$F$61, 4, FALSE)</f>
        <v>2420</v>
      </c>
    </row>
    <row r="953" spans="1:14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 t="str">
        <f>VLOOKUP(D953, Products!$A$2:$F$61, 3, FALSE)</f>
        <v>Sports</v>
      </c>
      <c r="M953" t="str">
        <f>VLOOKUP(E949, Sales_Reps!$A$2:$E$31, 3, FALSE)</f>
        <v>North</v>
      </c>
      <c r="N953">
        <f>VLOOKUP(D953, Products!$A$2:$F$61, 4, FALSE)</f>
        <v>2467</v>
      </c>
    </row>
    <row r="954" spans="1:14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 t="str">
        <f>VLOOKUP(D954, Products!$A$2:$F$61, 3, FALSE)</f>
        <v>Electronics</v>
      </c>
      <c r="M954" t="str">
        <f>VLOOKUP(E950, Sales_Reps!$A$2:$E$31, 3, FALSE)</f>
        <v>South</v>
      </c>
      <c r="N954">
        <f>VLOOKUP(D954, Products!$A$2:$F$61, 4, FALSE)</f>
        <v>2405</v>
      </c>
    </row>
    <row r="955" spans="1:14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 t="str">
        <f>VLOOKUP(D955, Products!$A$2:$F$61, 3, FALSE)</f>
        <v>Grocery</v>
      </c>
      <c r="M955" t="str">
        <f>VLOOKUP(E951, Sales_Reps!$A$2:$E$31, 3, FALSE)</f>
        <v>South</v>
      </c>
      <c r="N955">
        <f>VLOOKUP(D955, Products!$A$2:$F$61, 4, FALSE)</f>
        <v>1010</v>
      </c>
    </row>
    <row r="956" spans="1:14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 t="str">
        <f>VLOOKUP(D956, Products!$A$2:$F$61, 3, FALSE)</f>
        <v>Home</v>
      </c>
      <c r="M956" t="str">
        <f>VLOOKUP(E952, Sales_Reps!$A$2:$E$31, 3, FALSE)</f>
        <v>South</v>
      </c>
      <c r="N956">
        <f>VLOOKUP(D956, Products!$A$2:$F$61, 4, FALSE)</f>
        <v>519</v>
      </c>
    </row>
    <row r="957" spans="1:14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 t="str">
        <f>VLOOKUP(D957, Products!$A$2:$F$61, 3, FALSE)</f>
        <v>Apparel</v>
      </c>
      <c r="M957" t="str">
        <f>VLOOKUP(E953, Sales_Reps!$A$2:$E$31, 3, FALSE)</f>
        <v>South</v>
      </c>
      <c r="N957">
        <f>VLOOKUP(D957, Products!$A$2:$F$61, 4, FALSE)</f>
        <v>2509</v>
      </c>
    </row>
    <row r="958" spans="1:14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 t="str">
        <f>VLOOKUP(D958, Products!$A$2:$F$61, 3, FALSE)</f>
        <v>Apparel</v>
      </c>
      <c r="M958" t="str">
        <f>VLOOKUP(E954, Sales_Reps!$A$2:$E$31, 3, FALSE)</f>
        <v>West</v>
      </c>
      <c r="N958">
        <f>VLOOKUP(D958, Products!$A$2:$F$61, 4, FALSE)</f>
        <v>2629</v>
      </c>
    </row>
    <row r="959" spans="1:14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 t="str">
        <f>VLOOKUP(D959, Products!$A$2:$F$61, 3, FALSE)</f>
        <v>Home</v>
      </c>
      <c r="M959" t="str">
        <f>VLOOKUP(E955, Sales_Reps!$A$2:$E$31, 3, FALSE)</f>
        <v>North</v>
      </c>
      <c r="N959">
        <f>VLOOKUP(D959, Products!$A$2:$F$61, 4, FALSE)</f>
        <v>1143</v>
      </c>
    </row>
    <row r="960" spans="1:14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 t="str">
        <f>VLOOKUP(D960, Products!$A$2:$F$61, 3, FALSE)</f>
        <v>Beauty</v>
      </c>
      <c r="M960" t="str">
        <f>VLOOKUP(E956, Sales_Reps!$A$2:$E$31, 3, FALSE)</f>
        <v>West</v>
      </c>
      <c r="N960">
        <f>VLOOKUP(D960, Products!$A$2:$F$61, 4, FALSE)</f>
        <v>1222</v>
      </c>
    </row>
    <row r="961" spans="1:14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 t="str">
        <f>VLOOKUP(D961, Products!$A$2:$F$61, 3, FALSE)</f>
        <v>Grocery</v>
      </c>
      <c r="M961" t="str">
        <f>VLOOKUP(E957, Sales_Reps!$A$2:$E$31, 3, FALSE)</f>
        <v>South</v>
      </c>
      <c r="N961">
        <f>VLOOKUP(D961, Products!$A$2:$F$61, 4, FALSE)</f>
        <v>1435</v>
      </c>
    </row>
    <row r="962" spans="1:14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 t="str">
        <f>VLOOKUP(D962, Products!$A$2:$F$61, 3, FALSE)</f>
        <v>Electronics</v>
      </c>
      <c r="M962" t="str">
        <f>VLOOKUP(E958, Sales_Reps!$A$2:$E$31, 3, FALSE)</f>
        <v>South</v>
      </c>
      <c r="N962">
        <f>VLOOKUP(D962, Products!$A$2:$F$61, 4, FALSE)</f>
        <v>2865</v>
      </c>
    </row>
    <row r="963" spans="1:14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 t="str">
        <f>VLOOKUP(D963, Products!$A$2:$F$61, 3, FALSE)</f>
        <v>Beauty</v>
      </c>
      <c r="M963" t="str">
        <f>VLOOKUP(E959, Sales_Reps!$A$2:$E$31, 3, FALSE)</f>
        <v>West</v>
      </c>
      <c r="N963">
        <f>VLOOKUP(D963, Products!$A$2:$F$61, 4, FALSE)</f>
        <v>2617</v>
      </c>
    </row>
    <row r="964" spans="1:14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 t="str">
        <f>VLOOKUP(D964, Products!$A$2:$F$61, 3, FALSE)</f>
        <v>Grocery</v>
      </c>
      <c r="M964" t="str">
        <f>VLOOKUP(E960, Sales_Reps!$A$2:$E$31, 3, FALSE)</f>
        <v>South</v>
      </c>
      <c r="N964">
        <f>VLOOKUP(D964, Products!$A$2:$F$61, 4, FALSE)</f>
        <v>1203</v>
      </c>
    </row>
    <row r="965" spans="1:14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 t="str">
        <f>VLOOKUP(D965, Products!$A$2:$F$61, 3, FALSE)</f>
        <v>Electronics</v>
      </c>
      <c r="M965" t="str">
        <f>VLOOKUP(E961, Sales_Reps!$A$2:$E$31, 3, FALSE)</f>
        <v>East</v>
      </c>
      <c r="N965">
        <f>VLOOKUP(D965, Products!$A$2:$F$61, 4, FALSE)</f>
        <v>2865</v>
      </c>
    </row>
    <row r="966" spans="1:14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 t="str">
        <f>VLOOKUP(D966, Products!$A$2:$F$61, 3, FALSE)</f>
        <v>Beauty</v>
      </c>
      <c r="M966" t="str">
        <f>VLOOKUP(E962, Sales_Reps!$A$2:$E$31, 3, FALSE)</f>
        <v>South</v>
      </c>
      <c r="N966">
        <f>VLOOKUP(D966, Products!$A$2:$F$61, 4, FALSE)</f>
        <v>2237</v>
      </c>
    </row>
    <row r="967" spans="1:14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 t="str">
        <f>VLOOKUP(D967, Products!$A$2:$F$61, 3, FALSE)</f>
        <v>Beauty</v>
      </c>
      <c r="M967" t="str">
        <f>VLOOKUP(E963, Sales_Reps!$A$2:$E$31, 3, FALSE)</f>
        <v>South</v>
      </c>
      <c r="N967">
        <f>VLOOKUP(D967, Products!$A$2:$F$61, 4, FALSE)</f>
        <v>1626</v>
      </c>
    </row>
    <row r="968" spans="1:14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 t="str">
        <f>VLOOKUP(D968, Products!$A$2:$F$61, 3, FALSE)</f>
        <v>Sports</v>
      </c>
      <c r="M968" t="str">
        <f>VLOOKUP(E964, Sales_Reps!$A$2:$E$31, 3, FALSE)</f>
        <v>North</v>
      </c>
      <c r="N968">
        <f>VLOOKUP(D968, Products!$A$2:$F$61, 4, FALSE)</f>
        <v>705</v>
      </c>
    </row>
    <row r="969" spans="1:14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 t="str">
        <f>VLOOKUP(D969, Products!$A$2:$F$61, 3, FALSE)</f>
        <v>Apparel</v>
      </c>
      <c r="M969" t="str">
        <f>VLOOKUP(E965, Sales_Reps!$A$2:$E$31, 3, FALSE)</f>
        <v>North</v>
      </c>
      <c r="N969">
        <f>VLOOKUP(D969, Products!$A$2:$F$61, 4, FALSE)</f>
        <v>1173</v>
      </c>
    </row>
    <row r="970" spans="1:14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 t="str">
        <f>VLOOKUP(D970, Products!$A$2:$F$61, 3, FALSE)</f>
        <v>Grocery</v>
      </c>
      <c r="M970" t="str">
        <f>VLOOKUP(E966, Sales_Reps!$A$2:$E$31, 3, FALSE)</f>
        <v>South</v>
      </c>
      <c r="N970">
        <f>VLOOKUP(D970, Products!$A$2:$F$61, 4, FALSE)</f>
        <v>434</v>
      </c>
    </row>
    <row r="971" spans="1:14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 t="str">
        <f>VLOOKUP(D971, Products!$A$2:$F$61, 3, FALSE)</f>
        <v>Grocery</v>
      </c>
      <c r="M971" t="str">
        <f>VLOOKUP(E967, Sales_Reps!$A$2:$E$31, 3, FALSE)</f>
        <v>West</v>
      </c>
      <c r="N971">
        <f>VLOOKUP(D971, Products!$A$2:$F$61, 4, FALSE)</f>
        <v>1182</v>
      </c>
    </row>
    <row r="972" spans="1:14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 t="str">
        <f>VLOOKUP(D972, Products!$A$2:$F$61, 3, FALSE)</f>
        <v>Sports</v>
      </c>
      <c r="M972" t="str">
        <f>VLOOKUP(E968, Sales_Reps!$A$2:$E$31, 3, FALSE)</f>
        <v>South</v>
      </c>
      <c r="N972">
        <f>VLOOKUP(D972, Products!$A$2:$F$61, 4, FALSE)</f>
        <v>2265</v>
      </c>
    </row>
    <row r="973" spans="1:14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 t="str">
        <f>VLOOKUP(D973, Products!$A$2:$F$61, 3, FALSE)</f>
        <v>Home</v>
      </c>
      <c r="M973" t="str">
        <f>VLOOKUP(E969, Sales_Reps!$A$2:$E$31, 3, FALSE)</f>
        <v>North</v>
      </c>
      <c r="N973">
        <f>VLOOKUP(D973, Products!$A$2:$F$61, 4, FALSE)</f>
        <v>2459</v>
      </c>
    </row>
    <row r="974" spans="1:14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 t="str">
        <f>VLOOKUP(D974, Products!$A$2:$F$61, 3, FALSE)</f>
        <v>Electronics</v>
      </c>
      <c r="M974" t="str">
        <f>VLOOKUP(E970, Sales_Reps!$A$2:$E$31, 3, FALSE)</f>
        <v>South</v>
      </c>
      <c r="N974">
        <f>VLOOKUP(D974, Products!$A$2:$F$61, 4, FALSE)</f>
        <v>861</v>
      </c>
    </row>
    <row r="975" spans="1:14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 t="str">
        <f>VLOOKUP(D975, Products!$A$2:$F$61, 3, FALSE)</f>
        <v>Home</v>
      </c>
      <c r="M975" t="str">
        <f>VLOOKUP(E971, Sales_Reps!$A$2:$E$31, 3, FALSE)</f>
        <v>East</v>
      </c>
      <c r="N975">
        <f>VLOOKUP(D975, Products!$A$2:$F$61, 4, FALSE)</f>
        <v>329</v>
      </c>
    </row>
    <row r="976" spans="1:14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 t="str">
        <f>VLOOKUP(D976, Products!$A$2:$F$61, 3, FALSE)</f>
        <v>Beauty</v>
      </c>
      <c r="M976" t="str">
        <f>VLOOKUP(E972, Sales_Reps!$A$2:$E$31, 3, FALSE)</f>
        <v>North</v>
      </c>
      <c r="N976">
        <f>VLOOKUP(D976, Products!$A$2:$F$61, 4, FALSE)</f>
        <v>647</v>
      </c>
    </row>
    <row r="977" spans="1:14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 t="str">
        <f>VLOOKUP(D977, Products!$A$2:$F$61, 3, FALSE)</f>
        <v>Grocery</v>
      </c>
      <c r="M977" t="str">
        <f>VLOOKUP(E973, Sales_Reps!$A$2:$E$31, 3, FALSE)</f>
        <v>East</v>
      </c>
      <c r="N977">
        <f>VLOOKUP(D977, Products!$A$2:$F$61, 4, FALSE)</f>
        <v>1010</v>
      </c>
    </row>
    <row r="978" spans="1:14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 t="str">
        <f>VLOOKUP(D978, Products!$A$2:$F$61, 3, FALSE)</f>
        <v>Sports</v>
      </c>
      <c r="M978" t="str">
        <f>VLOOKUP(E974, Sales_Reps!$A$2:$E$31, 3, FALSE)</f>
        <v>West</v>
      </c>
      <c r="N978">
        <f>VLOOKUP(D978, Products!$A$2:$F$61, 4, FALSE)</f>
        <v>705</v>
      </c>
    </row>
    <row r="979" spans="1:14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 t="str">
        <f>VLOOKUP(D979, Products!$A$2:$F$61, 3, FALSE)</f>
        <v>Beauty</v>
      </c>
      <c r="M979" t="str">
        <f>VLOOKUP(E975, Sales_Reps!$A$2:$E$31, 3, FALSE)</f>
        <v>South</v>
      </c>
      <c r="N979">
        <f>VLOOKUP(D979, Products!$A$2:$F$61, 4, FALSE)</f>
        <v>2420</v>
      </c>
    </row>
    <row r="980" spans="1:14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 t="str">
        <f>VLOOKUP(D980, Products!$A$2:$F$61, 3, FALSE)</f>
        <v>Home</v>
      </c>
      <c r="M980" t="str">
        <f>VLOOKUP(E976, Sales_Reps!$A$2:$E$31, 3, FALSE)</f>
        <v>North</v>
      </c>
      <c r="N980">
        <f>VLOOKUP(D980, Products!$A$2:$F$61, 4, FALSE)</f>
        <v>1143</v>
      </c>
    </row>
    <row r="981" spans="1:14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 t="str">
        <f>VLOOKUP(D981, Products!$A$2:$F$61, 3, FALSE)</f>
        <v>Apparel</v>
      </c>
      <c r="M981" t="str">
        <f>VLOOKUP(E977, Sales_Reps!$A$2:$E$31, 3, FALSE)</f>
        <v>North</v>
      </c>
      <c r="N981">
        <f>VLOOKUP(D981, Products!$A$2:$F$61, 4, FALSE)</f>
        <v>1748</v>
      </c>
    </row>
    <row r="982" spans="1:14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 t="str">
        <f>VLOOKUP(D982, Products!$A$2:$F$61, 3, FALSE)</f>
        <v>Grocery</v>
      </c>
      <c r="M982" t="str">
        <f>VLOOKUP(E978, Sales_Reps!$A$2:$E$31, 3, FALSE)</f>
        <v>East</v>
      </c>
      <c r="N982">
        <f>VLOOKUP(D982, Products!$A$2:$F$61, 4, FALSE)</f>
        <v>2436</v>
      </c>
    </row>
    <row r="983" spans="1:14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 t="str">
        <f>VLOOKUP(D983, Products!$A$2:$F$61, 3, FALSE)</f>
        <v>Grocery</v>
      </c>
      <c r="M983" t="str">
        <f>VLOOKUP(E979, Sales_Reps!$A$2:$E$31, 3, FALSE)</f>
        <v>East</v>
      </c>
      <c r="N983">
        <f>VLOOKUP(D983, Products!$A$2:$F$61, 4, FALSE)</f>
        <v>1435</v>
      </c>
    </row>
    <row r="984" spans="1:14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 t="str">
        <f>VLOOKUP(D984, Products!$A$2:$F$61, 3, FALSE)</f>
        <v>Beauty</v>
      </c>
      <c r="M984" t="str">
        <f>VLOOKUP(E980, Sales_Reps!$A$2:$E$31, 3, FALSE)</f>
        <v>North</v>
      </c>
      <c r="N984">
        <f>VLOOKUP(D984, Products!$A$2:$F$61, 4, FALSE)</f>
        <v>647</v>
      </c>
    </row>
    <row r="985" spans="1:14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 t="str">
        <f>VLOOKUP(D985, Products!$A$2:$F$61, 3, FALSE)</f>
        <v>Home</v>
      </c>
      <c r="M985" t="str">
        <f>VLOOKUP(E981, Sales_Reps!$A$2:$E$31, 3, FALSE)</f>
        <v>South</v>
      </c>
      <c r="N985">
        <f>VLOOKUP(D985, Products!$A$2:$F$61, 4, FALSE)</f>
        <v>2135</v>
      </c>
    </row>
    <row r="986" spans="1:14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 t="str">
        <f>VLOOKUP(D986, Products!$A$2:$F$61, 3, FALSE)</f>
        <v>Home</v>
      </c>
      <c r="M986" t="str">
        <f>VLOOKUP(E982, Sales_Reps!$A$2:$E$31, 3, FALSE)</f>
        <v>South</v>
      </c>
      <c r="N986">
        <f>VLOOKUP(D986, Products!$A$2:$F$61, 4, FALSE)</f>
        <v>2135</v>
      </c>
    </row>
    <row r="987" spans="1:14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 t="str">
        <f>VLOOKUP(D987, Products!$A$2:$F$61, 3, FALSE)</f>
        <v>Apparel</v>
      </c>
      <c r="M987" t="str">
        <f>VLOOKUP(E983, Sales_Reps!$A$2:$E$31, 3, FALSE)</f>
        <v>North</v>
      </c>
      <c r="N987">
        <f>VLOOKUP(D987, Products!$A$2:$F$61, 4, FALSE)</f>
        <v>1886</v>
      </c>
    </row>
    <row r="988" spans="1:14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 t="str">
        <f>VLOOKUP(D988, Products!$A$2:$F$61, 3, FALSE)</f>
        <v>Beauty</v>
      </c>
      <c r="M988" t="str">
        <f>VLOOKUP(E984, Sales_Reps!$A$2:$E$31, 3, FALSE)</f>
        <v>West</v>
      </c>
      <c r="N988">
        <f>VLOOKUP(D988, Products!$A$2:$F$61, 4, FALSE)</f>
        <v>1219</v>
      </c>
    </row>
    <row r="989" spans="1:14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 t="str">
        <f>VLOOKUP(D989, Products!$A$2:$F$61, 3, FALSE)</f>
        <v>Electronics</v>
      </c>
      <c r="M989" t="str">
        <f>VLOOKUP(E985, Sales_Reps!$A$2:$E$31, 3, FALSE)</f>
        <v>North</v>
      </c>
      <c r="N989">
        <f>VLOOKUP(D989, Products!$A$2:$F$61, 4, FALSE)</f>
        <v>1559</v>
      </c>
    </row>
    <row r="990" spans="1:14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 t="str">
        <f>VLOOKUP(D990, Products!$A$2:$F$61, 3, FALSE)</f>
        <v>Electronics</v>
      </c>
      <c r="M990" t="str">
        <f>VLOOKUP(E986, Sales_Reps!$A$2:$E$31, 3, FALSE)</f>
        <v>West</v>
      </c>
      <c r="N990">
        <f>VLOOKUP(D990, Products!$A$2:$F$61, 4, FALSE)</f>
        <v>1665</v>
      </c>
    </row>
    <row r="991" spans="1:14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 t="str">
        <f>VLOOKUP(D991, Products!$A$2:$F$61, 3, FALSE)</f>
        <v>Sports</v>
      </c>
      <c r="M991" t="str">
        <f>VLOOKUP(E987, Sales_Reps!$A$2:$E$31, 3, FALSE)</f>
        <v>South</v>
      </c>
      <c r="N991">
        <f>VLOOKUP(D991, Products!$A$2:$F$61, 4, FALSE)</f>
        <v>516</v>
      </c>
    </row>
    <row r="992" spans="1:14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 t="str">
        <f>VLOOKUP(D992, Products!$A$2:$F$61, 3, FALSE)</f>
        <v>Beauty</v>
      </c>
      <c r="M992" t="str">
        <f>VLOOKUP(E988, Sales_Reps!$A$2:$E$31, 3, FALSE)</f>
        <v>East</v>
      </c>
      <c r="N992">
        <f>VLOOKUP(D992, Products!$A$2:$F$61, 4, FALSE)</f>
        <v>1219</v>
      </c>
    </row>
    <row r="993" spans="1:14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 t="str">
        <f>VLOOKUP(D993, Products!$A$2:$F$61, 3, FALSE)</f>
        <v>Home</v>
      </c>
      <c r="M993" t="str">
        <f>VLOOKUP(E989, Sales_Reps!$A$2:$E$31, 3, FALSE)</f>
        <v>South</v>
      </c>
      <c r="N993">
        <f>VLOOKUP(D993, Products!$A$2:$F$61, 4, FALSE)</f>
        <v>1850</v>
      </c>
    </row>
    <row r="994" spans="1:14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 t="str">
        <f>VLOOKUP(D994, Products!$A$2:$F$61, 3, FALSE)</f>
        <v>Apparel</v>
      </c>
      <c r="M994" t="str">
        <f>VLOOKUP(E990, Sales_Reps!$A$2:$E$31, 3, FALSE)</f>
        <v>North</v>
      </c>
      <c r="N994">
        <f>VLOOKUP(D994, Products!$A$2:$F$61, 4, FALSE)</f>
        <v>1075</v>
      </c>
    </row>
    <row r="995" spans="1:14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 t="str">
        <f>VLOOKUP(D995, Products!$A$2:$F$61, 3, FALSE)</f>
        <v>Beauty</v>
      </c>
      <c r="M995" t="str">
        <f>VLOOKUP(E991, Sales_Reps!$A$2:$E$31, 3, FALSE)</f>
        <v>North</v>
      </c>
      <c r="N995">
        <f>VLOOKUP(D995, Products!$A$2:$F$61, 4, FALSE)</f>
        <v>1626</v>
      </c>
    </row>
    <row r="996" spans="1:14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 t="str">
        <f>VLOOKUP(D996, Products!$A$2:$F$61, 3, FALSE)</f>
        <v>Sports</v>
      </c>
      <c r="M996" t="str">
        <f>VLOOKUP(E992, Sales_Reps!$A$2:$E$31, 3, FALSE)</f>
        <v>North</v>
      </c>
      <c r="N996">
        <f>VLOOKUP(D996, Products!$A$2:$F$61, 4, FALSE)</f>
        <v>147</v>
      </c>
    </row>
    <row r="997" spans="1:14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 t="str">
        <f>VLOOKUP(D997, Products!$A$2:$F$61, 3, FALSE)</f>
        <v>Home</v>
      </c>
      <c r="M997" t="str">
        <f>VLOOKUP(E993, Sales_Reps!$A$2:$E$31, 3, FALSE)</f>
        <v>East</v>
      </c>
      <c r="N997">
        <f>VLOOKUP(D997, Products!$A$2:$F$61, 4, FALSE)</f>
        <v>1143</v>
      </c>
    </row>
    <row r="998" spans="1:14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 t="str">
        <f>VLOOKUP(D998, Products!$A$2:$F$61, 3, FALSE)</f>
        <v>Home</v>
      </c>
      <c r="M998" t="str">
        <f>VLOOKUP(E994, Sales_Reps!$A$2:$E$31, 3, FALSE)</f>
        <v>North</v>
      </c>
      <c r="N998">
        <f>VLOOKUP(D998, Products!$A$2:$F$61, 4, FALSE)</f>
        <v>1556</v>
      </c>
    </row>
    <row r="999" spans="1:14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 t="str">
        <f>VLOOKUP(D999, Products!$A$2:$F$61, 3, FALSE)</f>
        <v>Home</v>
      </c>
      <c r="M999" t="str">
        <f>VLOOKUP(E995, Sales_Reps!$A$2:$E$31, 3, FALSE)</f>
        <v>South</v>
      </c>
      <c r="N999">
        <f>VLOOKUP(D999, Products!$A$2:$F$61, 4, FALSE)</f>
        <v>1143</v>
      </c>
    </row>
    <row r="1000" spans="1:14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 t="str">
        <f>VLOOKUP(D1000, Products!$A$2:$F$61, 3, FALSE)</f>
        <v>Grocery</v>
      </c>
      <c r="M1000" t="str">
        <f>VLOOKUP(E996, Sales_Reps!$A$2:$E$31, 3, FALSE)</f>
        <v>South</v>
      </c>
      <c r="N1000">
        <f>VLOOKUP(D1000, Products!$A$2:$F$61, 4, FALSE)</f>
        <v>1182</v>
      </c>
    </row>
    <row r="1001" spans="1:14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 t="str">
        <f>VLOOKUP(D1001, Products!$A$2:$F$61, 3, FALSE)</f>
        <v>Apparel</v>
      </c>
      <c r="M1001" t="str">
        <f>VLOOKUP(E997, Sales_Reps!$A$2:$E$31, 3, FALSE)</f>
        <v>North</v>
      </c>
      <c r="N1001">
        <f>VLOOKUP(D1001, Products!$A$2:$F$61, 4, FALSE)</f>
        <v>1748</v>
      </c>
    </row>
    <row r="1002" spans="1:14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 t="str">
        <f>VLOOKUP(D1002, Products!$A$2:$F$61, 3, FALSE)</f>
        <v>Apparel</v>
      </c>
      <c r="M1002" t="str">
        <f>VLOOKUP(E998, Sales_Reps!$A$2:$E$31, 3, FALSE)</f>
        <v>South</v>
      </c>
      <c r="N1002">
        <f>VLOOKUP(D1002, Products!$A$2:$F$61, 4, FALSE)</f>
        <v>1886</v>
      </c>
    </row>
    <row r="1003" spans="1:14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 t="str">
        <f>VLOOKUP(D1003, Products!$A$2:$F$61, 3, FALSE)</f>
        <v>Home</v>
      </c>
      <c r="M1003" t="str">
        <f>VLOOKUP(E999, Sales_Reps!$A$2:$E$31, 3, FALSE)</f>
        <v>West</v>
      </c>
      <c r="N1003">
        <f>VLOOKUP(D1003, Products!$A$2:$F$61, 4, FALSE)</f>
        <v>2549</v>
      </c>
    </row>
    <row r="1004" spans="1:14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 t="str">
        <f>VLOOKUP(D1004, Products!$A$2:$F$61, 3, FALSE)</f>
        <v>Sports</v>
      </c>
      <c r="M1004" t="str">
        <f>VLOOKUP(E1000, Sales_Reps!$A$2:$E$31, 3, FALSE)</f>
        <v>West</v>
      </c>
      <c r="N1004">
        <f>VLOOKUP(D1004, Products!$A$2:$F$61, 4, FALSE)</f>
        <v>2028</v>
      </c>
    </row>
    <row r="1005" spans="1:14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 t="str">
        <f>VLOOKUP(D1005, Products!$A$2:$F$61, 3, FALSE)</f>
        <v>Beauty</v>
      </c>
      <c r="M1005" t="str">
        <f>VLOOKUP(E1001, Sales_Reps!$A$2:$E$31, 3, FALSE)</f>
        <v>West</v>
      </c>
      <c r="N1005">
        <f>VLOOKUP(D1005, Products!$A$2:$F$61, 4, FALSE)</f>
        <v>675</v>
      </c>
    </row>
    <row r="1006" spans="1:14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 t="str">
        <f>VLOOKUP(D1006, Products!$A$2:$F$61, 3, FALSE)</f>
        <v>Home</v>
      </c>
      <c r="M1006" t="str">
        <f>VLOOKUP(E1002, Sales_Reps!$A$2:$E$31, 3, FALSE)</f>
        <v>North</v>
      </c>
      <c r="N1006">
        <f>VLOOKUP(D1006, Products!$A$2:$F$61, 4, FALSE)</f>
        <v>519</v>
      </c>
    </row>
    <row r="1007" spans="1:14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 t="str">
        <f>VLOOKUP(D1007, Products!$A$2:$F$61, 3, FALSE)</f>
        <v>Sports</v>
      </c>
      <c r="M1007" t="str">
        <f>VLOOKUP(E1003, Sales_Reps!$A$2:$E$31, 3, FALSE)</f>
        <v>West</v>
      </c>
      <c r="N1007">
        <f>VLOOKUP(D1007, Products!$A$2:$F$61, 4, FALSE)</f>
        <v>2028</v>
      </c>
    </row>
    <row r="1008" spans="1:14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 t="str">
        <f>VLOOKUP(D1008, Products!$A$2:$F$61, 3, FALSE)</f>
        <v>Apparel</v>
      </c>
      <c r="M1008" t="str">
        <f>VLOOKUP(E1004, Sales_Reps!$A$2:$E$31, 3, FALSE)</f>
        <v>North</v>
      </c>
      <c r="N1008">
        <f>VLOOKUP(D1008, Products!$A$2:$F$61, 4, FALSE)</f>
        <v>2611</v>
      </c>
    </row>
    <row r="1009" spans="1:14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 t="str">
        <f>VLOOKUP(D1009, Products!$A$2:$F$61, 3, FALSE)</f>
        <v>Apparel</v>
      </c>
      <c r="M1009" t="str">
        <f>VLOOKUP(E1005, Sales_Reps!$A$2:$E$31, 3, FALSE)</f>
        <v>South</v>
      </c>
      <c r="N1009">
        <f>VLOOKUP(D1009, Products!$A$2:$F$61, 4, FALSE)</f>
        <v>1962</v>
      </c>
    </row>
    <row r="1010" spans="1:14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 t="str">
        <f>VLOOKUP(D1010, Products!$A$2:$F$61, 3, FALSE)</f>
        <v>Grocery</v>
      </c>
      <c r="M1010" t="str">
        <f>VLOOKUP(E1006, Sales_Reps!$A$2:$E$31, 3, FALSE)</f>
        <v>North</v>
      </c>
      <c r="N1010">
        <f>VLOOKUP(D1010, Products!$A$2:$F$61, 4, FALSE)</f>
        <v>1203</v>
      </c>
    </row>
    <row r="1011" spans="1:14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 t="str">
        <f>VLOOKUP(D1011, Products!$A$2:$F$61, 3, FALSE)</f>
        <v>Electronics</v>
      </c>
      <c r="M1011" t="str">
        <f>VLOOKUP(E1007, Sales_Reps!$A$2:$E$31, 3, FALSE)</f>
        <v>North</v>
      </c>
      <c r="N1011">
        <f>VLOOKUP(D1011, Products!$A$2:$F$61, 4, FALSE)</f>
        <v>517</v>
      </c>
    </row>
    <row r="1012" spans="1:14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 t="str">
        <f>VLOOKUP(D1012, Products!$A$2:$F$61, 3, FALSE)</f>
        <v>Electronics</v>
      </c>
      <c r="M1012" t="str">
        <f>VLOOKUP(E1008, Sales_Reps!$A$2:$E$31, 3, FALSE)</f>
        <v>North</v>
      </c>
      <c r="N1012">
        <f>VLOOKUP(D1012, Products!$A$2:$F$61, 4, FALSE)</f>
        <v>1149</v>
      </c>
    </row>
    <row r="1013" spans="1:14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 t="str">
        <f>VLOOKUP(D1013, Products!$A$2:$F$61, 3, FALSE)</f>
        <v>Grocery</v>
      </c>
      <c r="M1013" t="str">
        <f>VLOOKUP(E1009, Sales_Reps!$A$2:$E$31, 3, FALSE)</f>
        <v>East</v>
      </c>
      <c r="N1013">
        <f>VLOOKUP(D1013, Products!$A$2:$F$61, 4, FALSE)</f>
        <v>434</v>
      </c>
    </row>
    <row r="1014" spans="1:14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 t="str">
        <f>VLOOKUP(D1014, Products!$A$2:$F$61, 3, FALSE)</f>
        <v>Home</v>
      </c>
      <c r="M1014" t="str">
        <f>VLOOKUP(E1010, Sales_Reps!$A$2:$E$31, 3, FALSE)</f>
        <v>North</v>
      </c>
      <c r="N1014">
        <f>VLOOKUP(D1014, Products!$A$2:$F$61, 4, FALSE)</f>
        <v>2135</v>
      </c>
    </row>
    <row r="1015" spans="1:14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 t="str">
        <f>VLOOKUP(D1015, Products!$A$2:$F$61, 3, FALSE)</f>
        <v>Grocery</v>
      </c>
      <c r="M1015" t="str">
        <f>VLOOKUP(E1011, Sales_Reps!$A$2:$E$31, 3, FALSE)</f>
        <v>West</v>
      </c>
      <c r="N1015">
        <f>VLOOKUP(D1015, Products!$A$2:$F$61, 4, FALSE)</f>
        <v>434</v>
      </c>
    </row>
    <row r="1016" spans="1:14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 t="str">
        <f>VLOOKUP(D1016, Products!$A$2:$F$61, 3, FALSE)</f>
        <v>Electronics</v>
      </c>
      <c r="M1016" t="str">
        <f>VLOOKUP(E1012, Sales_Reps!$A$2:$E$31, 3, FALSE)</f>
        <v>South</v>
      </c>
      <c r="N1016">
        <f>VLOOKUP(D1016, Products!$A$2:$F$61, 4, FALSE)</f>
        <v>1665</v>
      </c>
    </row>
    <row r="1017" spans="1:14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 t="str">
        <f>VLOOKUP(D1017, Products!$A$2:$F$61, 3, FALSE)</f>
        <v>Grocery</v>
      </c>
      <c r="M1017" t="str">
        <f>VLOOKUP(E1013, Sales_Reps!$A$2:$E$31, 3, FALSE)</f>
        <v>South</v>
      </c>
      <c r="N1017">
        <f>VLOOKUP(D1017, Products!$A$2:$F$61, 4, FALSE)</f>
        <v>434</v>
      </c>
    </row>
    <row r="1018" spans="1:14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 t="str">
        <f>VLOOKUP(D1018, Products!$A$2:$F$61, 3, FALSE)</f>
        <v>Sports</v>
      </c>
      <c r="M1018" t="str">
        <f>VLOOKUP(E1014, Sales_Reps!$A$2:$E$31, 3, FALSE)</f>
        <v>West</v>
      </c>
      <c r="N1018">
        <f>VLOOKUP(D1018, Products!$A$2:$F$61, 4, FALSE)</f>
        <v>1860</v>
      </c>
    </row>
    <row r="1019" spans="1:14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 t="str">
        <f>VLOOKUP(D1019, Products!$A$2:$F$61, 3, FALSE)</f>
        <v>Sports</v>
      </c>
      <c r="M1019" t="str">
        <f>VLOOKUP(E1015, Sales_Reps!$A$2:$E$31, 3, FALSE)</f>
        <v>West</v>
      </c>
      <c r="N1019">
        <f>VLOOKUP(D1019, Products!$A$2:$F$61, 4, FALSE)</f>
        <v>974</v>
      </c>
    </row>
    <row r="1020" spans="1:14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 t="str">
        <f>VLOOKUP(D1020, Products!$A$2:$F$61, 3, FALSE)</f>
        <v>Home</v>
      </c>
      <c r="M1020" t="str">
        <f>VLOOKUP(E1016, Sales_Reps!$A$2:$E$31, 3, FALSE)</f>
        <v>East</v>
      </c>
      <c r="N1020">
        <f>VLOOKUP(D1020, Products!$A$2:$F$61, 4, FALSE)</f>
        <v>1556</v>
      </c>
    </row>
    <row r="1021" spans="1:14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 t="str">
        <f>VLOOKUP(D1021, Products!$A$2:$F$61, 3, FALSE)</f>
        <v>Grocery</v>
      </c>
      <c r="M1021" t="str">
        <f>VLOOKUP(E1017, Sales_Reps!$A$2:$E$31, 3, FALSE)</f>
        <v>South</v>
      </c>
      <c r="N1021">
        <f>VLOOKUP(D1021, Products!$A$2:$F$61, 4, FALSE)</f>
        <v>1435</v>
      </c>
    </row>
    <row r="1022" spans="1:14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 t="str">
        <f>VLOOKUP(D1022, Products!$A$2:$F$61, 3, FALSE)</f>
        <v>Electronics</v>
      </c>
      <c r="M1022" t="str">
        <f>VLOOKUP(E1018, Sales_Reps!$A$2:$E$31, 3, FALSE)</f>
        <v>South</v>
      </c>
      <c r="N1022">
        <f>VLOOKUP(D1022, Products!$A$2:$F$61, 4, FALSE)</f>
        <v>1665</v>
      </c>
    </row>
    <row r="1023" spans="1:14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 t="str">
        <f>VLOOKUP(D1023, Products!$A$2:$F$61, 3, FALSE)</f>
        <v>Grocery</v>
      </c>
      <c r="M1023" t="str">
        <f>VLOOKUP(E1019, Sales_Reps!$A$2:$E$31, 3, FALSE)</f>
        <v>South</v>
      </c>
      <c r="N1023">
        <f>VLOOKUP(D1023, Products!$A$2:$F$61, 4, FALSE)</f>
        <v>2436</v>
      </c>
    </row>
    <row r="1024" spans="1:14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 t="str">
        <f>VLOOKUP(D1024, Products!$A$2:$F$61, 3, FALSE)</f>
        <v>Electronics</v>
      </c>
      <c r="M1024" t="str">
        <f>VLOOKUP(E1020, Sales_Reps!$A$2:$E$31, 3, FALSE)</f>
        <v>East</v>
      </c>
      <c r="N1024">
        <f>VLOOKUP(D1024, Products!$A$2:$F$61, 4, FALSE)</f>
        <v>861</v>
      </c>
    </row>
    <row r="1025" spans="1:14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 t="str">
        <f>VLOOKUP(D1025, Products!$A$2:$F$61, 3, FALSE)</f>
        <v>Grocery</v>
      </c>
      <c r="M1025" t="str">
        <f>VLOOKUP(E1021, Sales_Reps!$A$2:$E$31, 3, FALSE)</f>
        <v>South</v>
      </c>
      <c r="N1025">
        <f>VLOOKUP(D1025, Products!$A$2:$F$61, 4, FALSE)</f>
        <v>1412</v>
      </c>
    </row>
    <row r="1026" spans="1:14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 t="str">
        <f>VLOOKUP(D1026, Products!$A$2:$F$61, 3, FALSE)</f>
        <v>Sports</v>
      </c>
      <c r="M1026" t="str">
        <f>VLOOKUP(E1022, Sales_Reps!$A$2:$E$31, 3, FALSE)</f>
        <v>North</v>
      </c>
      <c r="N1026">
        <f>VLOOKUP(D1026, Products!$A$2:$F$61, 4, FALSE)</f>
        <v>516</v>
      </c>
    </row>
    <row r="1027" spans="1:14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 t="str">
        <f>VLOOKUP(D1027, Products!$A$2:$F$61, 3, FALSE)</f>
        <v>Sports</v>
      </c>
      <c r="M1027" t="str">
        <f>VLOOKUP(E1023, Sales_Reps!$A$2:$E$31, 3, FALSE)</f>
        <v>South</v>
      </c>
      <c r="N1027">
        <f>VLOOKUP(D1027, Products!$A$2:$F$61, 4, FALSE)</f>
        <v>2028</v>
      </c>
    </row>
    <row r="1028" spans="1:14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 t="str">
        <f>VLOOKUP(D1028, Products!$A$2:$F$61, 3, FALSE)</f>
        <v>Electronics</v>
      </c>
      <c r="M1028" t="str">
        <f>VLOOKUP(E1024, Sales_Reps!$A$2:$E$31, 3, FALSE)</f>
        <v>East</v>
      </c>
      <c r="N1028">
        <f>VLOOKUP(D1028, Products!$A$2:$F$61, 4, FALSE)</f>
        <v>1052</v>
      </c>
    </row>
    <row r="1029" spans="1:14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 t="str">
        <f>VLOOKUP(D1029, Products!$A$2:$F$61, 3, FALSE)</f>
        <v>Sports</v>
      </c>
      <c r="M1029" t="str">
        <f>VLOOKUP(E1025, Sales_Reps!$A$2:$E$31, 3, FALSE)</f>
        <v>South</v>
      </c>
      <c r="N1029">
        <f>VLOOKUP(D1029, Products!$A$2:$F$61, 4, FALSE)</f>
        <v>302</v>
      </c>
    </row>
    <row r="1030" spans="1:14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 t="str">
        <f>VLOOKUP(D1030, Products!$A$2:$F$61, 3, FALSE)</f>
        <v>Home</v>
      </c>
      <c r="M1030" t="str">
        <f>VLOOKUP(E1026, Sales_Reps!$A$2:$E$31, 3, FALSE)</f>
        <v>South</v>
      </c>
      <c r="N1030">
        <f>VLOOKUP(D1030, Products!$A$2:$F$61, 4, FALSE)</f>
        <v>329</v>
      </c>
    </row>
    <row r="1031" spans="1:14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 t="str">
        <f>VLOOKUP(D1031, Products!$A$2:$F$61, 3, FALSE)</f>
        <v>Electronics</v>
      </c>
      <c r="M1031" t="str">
        <f>VLOOKUP(E1027, Sales_Reps!$A$2:$E$31, 3, FALSE)</f>
        <v>South</v>
      </c>
      <c r="N1031">
        <f>VLOOKUP(D1031, Products!$A$2:$F$61, 4, FALSE)</f>
        <v>517</v>
      </c>
    </row>
    <row r="1032" spans="1:14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 t="str">
        <f>VLOOKUP(D1032, Products!$A$2:$F$61, 3, FALSE)</f>
        <v>Home</v>
      </c>
      <c r="M1032" t="str">
        <f>VLOOKUP(E1028, Sales_Reps!$A$2:$E$31, 3, FALSE)</f>
        <v>East</v>
      </c>
      <c r="N1032">
        <f>VLOOKUP(D1032, Products!$A$2:$F$61, 4, FALSE)</f>
        <v>1556</v>
      </c>
    </row>
    <row r="1033" spans="1:14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 t="str">
        <f>VLOOKUP(D1033, Products!$A$2:$F$61, 3, FALSE)</f>
        <v>Apparel</v>
      </c>
      <c r="M1033" t="str">
        <f>VLOOKUP(E1029, Sales_Reps!$A$2:$E$31, 3, FALSE)</f>
        <v>West</v>
      </c>
      <c r="N1033">
        <f>VLOOKUP(D1033, Products!$A$2:$F$61, 4, FALSE)</f>
        <v>396</v>
      </c>
    </row>
    <row r="1034" spans="1:14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 t="str">
        <f>VLOOKUP(D1034, Products!$A$2:$F$61, 3, FALSE)</f>
        <v>Grocery</v>
      </c>
      <c r="M1034" t="str">
        <f>VLOOKUP(E1030, Sales_Reps!$A$2:$E$31, 3, FALSE)</f>
        <v>South</v>
      </c>
      <c r="N1034">
        <f>VLOOKUP(D1034, Products!$A$2:$F$61, 4, FALSE)</f>
        <v>2027</v>
      </c>
    </row>
    <row r="1035" spans="1:14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 t="str">
        <f>VLOOKUP(D1035, Products!$A$2:$F$61, 3, FALSE)</f>
        <v>Apparel</v>
      </c>
      <c r="M1035" t="str">
        <f>VLOOKUP(E1031, Sales_Reps!$A$2:$E$31, 3, FALSE)</f>
        <v>East</v>
      </c>
      <c r="N1035">
        <f>VLOOKUP(D1035, Products!$A$2:$F$61, 4, FALSE)</f>
        <v>1886</v>
      </c>
    </row>
    <row r="1036" spans="1:14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 t="str">
        <f>VLOOKUP(D1036, Products!$A$2:$F$61, 3, FALSE)</f>
        <v>Grocery</v>
      </c>
      <c r="M1036" t="str">
        <f>VLOOKUP(E1032, Sales_Reps!$A$2:$E$31, 3, FALSE)</f>
        <v>South</v>
      </c>
      <c r="N1036">
        <f>VLOOKUP(D1036, Products!$A$2:$F$61, 4, FALSE)</f>
        <v>1010</v>
      </c>
    </row>
    <row r="1037" spans="1:14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 t="str">
        <f>VLOOKUP(D1037, Products!$A$2:$F$61, 3, FALSE)</f>
        <v>Sports</v>
      </c>
      <c r="M1037" t="str">
        <f>VLOOKUP(E1033, Sales_Reps!$A$2:$E$31, 3, FALSE)</f>
        <v>East</v>
      </c>
      <c r="N1037">
        <f>VLOOKUP(D1037, Products!$A$2:$F$61, 4, FALSE)</f>
        <v>302</v>
      </c>
    </row>
    <row r="1038" spans="1:14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 t="str">
        <f>VLOOKUP(D1038, Products!$A$2:$F$61, 3, FALSE)</f>
        <v>Home</v>
      </c>
      <c r="M1038" t="str">
        <f>VLOOKUP(E1034, Sales_Reps!$A$2:$E$31, 3, FALSE)</f>
        <v>North</v>
      </c>
      <c r="N1038">
        <f>VLOOKUP(D1038, Products!$A$2:$F$61, 4, FALSE)</f>
        <v>288</v>
      </c>
    </row>
    <row r="1039" spans="1:14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 t="str">
        <f>VLOOKUP(D1039, Products!$A$2:$F$61, 3, FALSE)</f>
        <v>Sports</v>
      </c>
      <c r="M1039" t="str">
        <f>VLOOKUP(E1035, Sales_Reps!$A$2:$E$31, 3, FALSE)</f>
        <v>North</v>
      </c>
      <c r="N1039">
        <f>VLOOKUP(D1039, Products!$A$2:$F$61, 4, FALSE)</f>
        <v>1860</v>
      </c>
    </row>
    <row r="1040" spans="1:14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 t="str">
        <f>VLOOKUP(D1040, Products!$A$2:$F$61, 3, FALSE)</f>
        <v>Sports</v>
      </c>
      <c r="M1040" t="str">
        <f>VLOOKUP(E1036, Sales_Reps!$A$2:$E$31, 3, FALSE)</f>
        <v>East</v>
      </c>
      <c r="N1040">
        <f>VLOOKUP(D1040, Products!$A$2:$F$61, 4, FALSE)</f>
        <v>2827</v>
      </c>
    </row>
    <row r="1041" spans="1:14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 t="str">
        <f>VLOOKUP(D1041, Products!$A$2:$F$61, 3, FALSE)</f>
        <v>Home</v>
      </c>
      <c r="M1041" t="str">
        <f>VLOOKUP(E1037, Sales_Reps!$A$2:$E$31, 3, FALSE)</f>
        <v>West</v>
      </c>
      <c r="N1041">
        <f>VLOOKUP(D1041, Products!$A$2:$F$61, 4, FALSE)</f>
        <v>2135</v>
      </c>
    </row>
    <row r="1042" spans="1:14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 t="str">
        <f>VLOOKUP(D1042, Products!$A$2:$F$61, 3, FALSE)</f>
        <v>Home</v>
      </c>
      <c r="M1042" t="str">
        <f>VLOOKUP(E1038, Sales_Reps!$A$2:$E$31, 3, FALSE)</f>
        <v>East</v>
      </c>
      <c r="N1042">
        <f>VLOOKUP(D1042, Products!$A$2:$F$61, 4, FALSE)</f>
        <v>2459</v>
      </c>
    </row>
    <row r="1043" spans="1:14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 t="str">
        <f>VLOOKUP(D1043, Products!$A$2:$F$61, 3, FALSE)</f>
        <v>Sports</v>
      </c>
      <c r="M1043" t="str">
        <f>VLOOKUP(E1039, Sales_Reps!$A$2:$E$31, 3, FALSE)</f>
        <v>East</v>
      </c>
      <c r="N1043">
        <f>VLOOKUP(D1043, Products!$A$2:$F$61, 4, FALSE)</f>
        <v>2265</v>
      </c>
    </row>
    <row r="1044" spans="1:14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 t="str">
        <f>VLOOKUP(D1044, Products!$A$2:$F$61, 3, FALSE)</f>
        <v>Apparel</v>
      </c>
      <c r="M1044" t="str">
        <f>VLOOKUP(E1040, Sales_Reps!$A$2:$E$31, 3, FALSE)</f>
        <v>South</v>
      </c>
      <c r="N1044">
        <f>VLOOKUP(D1044, Products!$A$2:$F$61, 4, FALSE)</f>
        <v>1962</v>
      </c>
    </row>
    <row r="1045" spans="1:14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 t="str">
        <f>VLOOKUP(D1045, Products!$A$2:$F$61, 3, FALSE)</f>
        <v>Electronics</v>
      </c>
      <c r="M1045" t="str">
        <f>VLOOKUP(E1041, Sales_Reps!$A$2:$E$31, 3, FALSE)</f>
        <v>East</v>
      </c>
      <c r="N1045">
        <f>VLOOKUP(D1045, Products!$A$2:$F$61, 4, FALSE)</f>
        <v>517</v>
      </c>
    </row>
    <row r="1046" spans="1:14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 t="str">
        <f>VLOOKUP(D1046, Products!$A$2:$F$61, 3, FALSE)</f>
        <v>Beauty</v>
      </c>
      <c r="M1046" t="str">
        <f>VLOOKUP(E1042, Sales_Reps!$A$2:$E$31, 3, FALSE)</f>
        <v>West</v>
      </c>
      <c r="N1046">
        <f>VLOOKUP(D1046, Products!$A$2:$F$61, 4, FALSE)</f>
        <v>2768</v>
      </c>
    </row>
    <row r="1047" spans="1:14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 t="str">
        <f>VLOOKUP(D1047, Products!$A$2:$F$61, 3, FALSE)</f>
        <v>Grocery</v>
      </c>
      <c r="M1047" t="str">
        <f>VLOOKUP(E1043, Sales_Reps!$A$2:$E$31, 3, FALSE)</f>
        <v>North</v>
      </c>
      <c r="N1047">
        <f>VLOOKUP(D1047, Products!$A$2:$F$61, 4, FALSE)</f>
        <v>1412</v>
      </c>
    </row>
    <row r="1048" spans="1:14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 t="str">
        <f>VLOOKUP(D1048, Products!$A$2:$F$61, 3, FALSE)</f>
        <v>Grocery</v>
      </c>
      <c r="M1048" t="str">
        <f>VLOOKUP(E1044, Sales_Reps!$A$2:$E$31, 3, FALSE)</f>
        <v>West</v>
      </c>
      <c r="N1048">
        <f>VLOOKUP(D1048, Products!$A$2:$F$61, 4, FALSE)</f>
        <v>434</v>
      </c>
    </row>
    <row r="1049" spans="1:14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 t="str">
        <f>VLOOKUP(D1049, Products!$A$2:$F$61, 3, FALSE)</f>
        <v>Grocery</v>
      </c>
      <c r="M1049" t="str">
        <f>VLOOKUP(E1045, Sales_Reps!$A$2:$E$31, 3, FALSE)</f>
        <v>South</v>
      </c>
      <c r="N1049">
        <f>VLOOKUP(D1049, Products!$A$2:$F$61, 4, FALSE)</f>
        <v>1182</v>
      </c>
    </row>
    <row r="1050" spans="1:14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 t="str">
        <f>VLOOKUP(D1050, Products!$A$2:$F$61, 3, FALSE)</f>
        <v>Apparel</v>
      </c>
      <c r="M1050" t="str">
        <f>VLOOKUP(E1046, Sales_Reps!$A$2:$E$31, 3, FALSE)</f>
        <v>North</v>
      </c>
      <c r="N1050">
        <f>VLOOKUP(D1050, Products!$A$2:$F$61, 4, FALSE)</f>
        <v>2509</v>
      </c>
    </row>
    <row r="1051" spans="1:14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 t="str">
        <f>VLOOKUP(D1051, Products!$A$2:$F$61, 3, FALSE)</f>
        <v>Grocery</v>
      </c>
      <c r="M1051" t="str">
        <f>VLOOKUP(E1047, Sales_Reps!$A$2:$E$31, 3, FALSE)</f>
        <v>East</v>
      </c>
      <c r="N1051">
        <f>VLOOKUP(D1051, Products!$A$2:$F$61, 4, FALSE)</f>
        <v>2027</v>
      </c>
    </row>
    <row r="1052" spans="1:14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 t="str">
        <f>VLOOKUP(D1052, Products!$A$2:$F$61, 3, FALSE)</f>
        <v>Beauty</v>
      </c>
      <c r="M1052" t="str">
        <f>VLOOKUP(E1048, Sales_Reps!$A$2:$E$31, 3, FALSE)</f>
        <v>North</v>
      </c>
      <c r="N1052">
        <f>VLOOKUP(D1052, Products!$A$2:$F$61, 4, FALSE)</f>
        <v>2237</v>
      </c>
    </row>
    <row r="1053" spans="1:14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 t="str">
        <f>VLOOKUP(D1053, Products!$A$2:$F$61, 3, FALSE)</f>
        <v>Beauty</v>
      </c>
      <c r="M1053" t="str">
        <f>VLOOKUP(E1049, Sales_Reps!$A$2:$E$31, 3, FALSE)</f>
        <v>South</v>
      </c>
      <c r="N1053">
        <f>VLOOKUP(D1053, Products!$A$2:$F$61, 4, FALSE)</f>
        <v>1626</v>
      </c>
    </row>
    <row r="1054" spans="1:14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 t="str">
        <f>VLOOKUP(D1054, Products!$A$2:$F$61, 3, FALSE)</f>
        <v>Beauty</v>
      </c>
      <c r="M1054" t="str">
        <f>VLOOKUP(E1050, Sales_Reps!$A$2:$E$31, 3, FALSE)</f>
        <v>South</v>
      </c>
      <c r="N1054">
        <f>VLOOKUP(D1054, Products!$A$2:$F$61, 4, FALSE)</f>
        <v>675</v>
      </c>
    </row>
    <row r="1055" spans="1:14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 t="str">
        <f>VLOOKUP(D1055, Products!$A$2:$F$61, 3, FALSE)</f>
        <v>Home</v>
      </c>
      <c r="M1055" t="str">
        <f>VLOOKUP(E1051, Sales_Reps!$A$2:$E$31, 3, FALSE)</f>
        <v>West</v>
      </c>
      <c r="N1055">
        <f>VLOOKUP(D1055, Products!$A$2:$F$61, 4, FALSE)</f>
        <v>2459</v>
      </c>
    </row>
    <row r="1056" spans="1:14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 t="str">
        <f>VLOOKUP(D1056, Products!$A$2:$F$61, 3, FALSE)</f>
        <v>Beauty</v>
      </c>
      <c r="M1056" t="str">
        <f>VLOOKUP(E1052, Sales_Reps!$A$2:$E$31, 3, FALSE)</f>
        <v>West</v>
      </c>
      <c r="N1056">
        <f>VLOOKUP(D1056, Products!$A$2:$F$61, 4, FALSE)</f>
        <v>2617</v>
      </c>
    </row>
    <row r="1057" spans="1:14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 t="str">
        <f>VLOOKUP(D1057, Products!$A$2:$F$61, 3, FALSE)</f>
        <v>Beauty</v>
      </c>
      <c r="M1057" t="str">
        <f>VLOOKUP(E1053, Sales_Reps!$A$2:$E$31, 3, FALSE)</f>
        <v>East</v>
      </c>
      <c r="N1057">
        <f>VLOOKUP(D1057, Products!$A$2:$F$61, 4, FALSE)</f>
        <v>647</v>
      </c>
    </row>
    <row r="1058" spans="1:14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 t="str">
        <f>VLOOKUP(D1058, Products!$A$2:$F$61, 3, FALSE)</f>
        <v>Sports</v>
      </c>
      <c r="M1058" t="str">
        <f>VLOOKUP(E1054, Sales_Reps!$A$2:$E$31, 3, FALSE)</f>
        <v>North</v>
      </c>
      <c r="N1058">
        <f>VLOOKUP(D1058, Products!$A$2:$F$61, 4, FALSE)</f>
        <v>516</v>
      </c>
    </row>
    <row r="1059" spans="1:14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 t="str">
        <f>VLOOKUP(D1059, Products!$A$2:$F$61, 3, FALSE)</f>
        <v>Beauty</v>
      </c>
      <c r="M1059" t="str">
        <f>VLOOKUP(E1055, Sales_Reps!$A$2:$E$31, 3, FALSE)</f>
        <v>South</v>
      </c>
      <c r="N1059">
        <f>VLOOKUP(D1059, Products!$A$2:$F$61, 4, FALSE)</f>
        <v>675</v>
      </c>
    </row>
    <row r="1060" spans="1:14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 t="str">
        <f>VLOOKUP(D1060, Products!$A$2:$F$61, 3, FALSE)</f>
        <v>Beauty</v>
      </c>
      <c r="M1060" t="str">
        <f>VLOOKUP(E1056, Sales_Reps!$A$2:$E$31, 3, FALSE)</f>
        <v>South</v>
      </c>
      <c r="N1060">
        <f>VLOOKUP(D1060, Products!$A$2:$F$61, 4, FALSE)</f>
        <v>647</v>
      </c>
    </row>
    <row r="1061" spans="1:14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 t="str">
        <f>VLOOKUP(D1061, Products!$A$2:$F$61, 3, FALSE)</f>
        <v>Beauty</v>
      </c>
      <c r="M1061" t="str">
        <f>VLOOKUP(E1057, Sales_Reps!$A$2:$E$31, 3, FALSE)</f>
        <v>South</v>
      </c>
      <c r="N1061">
        <f>VLOOKUP(D1061, Products!$A$2:$F$61, 4, FALSE)</f>
        <v>1728</v>
      </c>
    </row>
    <row r="1062" spans="1:14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 t="str">
        <f>VLOOKUP(D1062, Products!$A$2:$F$61, 3, FALSE)</f>
        <v>Sports</v>
      </c>
      <c r="M1062" t="str">
        <f>VLOOKUP(E1058, Sales_Reps!$A$2:$E$31, 3, FALSE)</f>
        <v>West</v>
      </c>
      <c r="N1062">
        <f>VLOOKUP(D1062, Products!$A$2:$F$61, 4, FALSE)</f>
        <v>2467</v>
      </c>
    </row>
    <row r="1063" spans="1:14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 t="str">
        <f>VLOOKUP(D1063, Products!$A$2:$F$61, 3, FALSE)</f>
        <v>Sports</v>
      </c>
      <c r="M1063" t="str">
        <f>VLOOKUP(E1059, Sales_Reps!$A$2:$E$31, 3, FALSE)</f>
        <v>West</v>
      </c>
      <c r="N1063">
        <f>VLOOKUP(D1063, Products!$A$2:$F$61, 4, FALSE)</f>
        <v>705</v>
      </c>
    </row>
    <row r="1064" spans="1:14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 t="str">
        <f>VLOOKUP(D1064, Products!$A$2:$F$61, 3, FALSE)</f>
        <v>Apparel</v>
      </c>
      <c r="M1064" t="str">
        <f>VLOOKUP(E1060, Sales_Reps!$A$2:$E$31, 3, FALSE)</f>
        <v>South</v>
      </c>
      <c r="N1064">
        <f>VLOOKUP(D1064, Products!$A$2:$F$61, 4, FALSE)</f>
        <v>2611</v>
      </c>
    </row>
    <row r="1065" spans="1:14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 t="str">
        <f>VLOOKUP(D1065, Products!$A$2:$F$61, 3, FALSE)</f>
        <v>Grocery</v>
      </c>
      <c r="M1065" t="str">
        <f>VLOOKUP(E1061, Sales_Reps!$A$2:$E$31, 3, FALSE)</f>
        <v>East</v>
      </c>
      <c r="N1065">
        <f>VLOOKUP(D1065, Products!$A$2:$F$61, 4, FALSE)</f>
        <v>1010</v>
      </c>
    </row>
    <row r="1066" spans="1:14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 t="str">
        <f>VLOOKUP(D1066, Products!$A$2:$F$61, 3, FALSE)</f>
        <v>Home</v>
      </c>
      <c r="M1066" t="str">
        <f>VLOOKUP(E1062, Sales_Reps!$A$2:$E$31, 3, FALSE)</f>
        <v>East</v>
      </c>
      <c r="N1066">
        <f>VLOOKUP(D1066, Products!$A$2:$F$61, 4, FALSE)</f>
        <v>2135</v>
      </c>
    </row>
    <row r="1067" spans="1:14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 t="str">
        <f>VLOOKUP(D1067, Products!$A$2:$F$61, 3, FALSE)</f>
        <v>Sports</v>
      </c>
      <c r="M1067" t="str">
        <f>VLOOKUP(E1063, Sales_Reps!$A$2:$E$31, 3, FALSE)</f>
        <v>East</v>
      </c>
      <c r="N1067">
        <f>VLOOKUP(D1067, Products!$A$2:$F$61, 4, FALSE)</f>
        <v>2265</v>
      </c>
    </row>
    <row r="1068" spans="1:14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 t="str">
        <f>VLOOKUP(D1068, Products!$A$2:$F$61, 3, FALSE)</f>
        <v>Grocery</v>
      </c>
      <c r="M1068" t="str">
        <f>VLOOKUP(E1064, Sales_Reps!$A$2:$E$31, 3, FALSE)</f>
        <v>South</v>
      </c>
      <c r="N1068">
        <f>VLOOKUP(D1068, Products!$A$2:$F$61, 4, FALSE)</f>
        <v>2436</v>
      </c>
    </row>
    <row r="1069" spans="1:14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 t="str">
        <f>VLOOKUP(D1069, Products!$A$2:$F$61, 3, FALSE)</f>
        <v>Home</v>
      </c>
      <c r="M1069" t="str">
        <f>VLOOKUP(E1065, Sales_Reps!$A$2:$E$31, 3, FALSE)</f>
        <v>East</v>
      </c>
      <c r="N1069">
        <f>VLOOKUP(D1069, Products!$A$2:$F$61, 4, FALSE)</f>
        <v>1850</v>
      </c>
    </row>
    <row r="1070" spans="1:14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 t="str">
        <f>VLOOKUP(D1070, Products!$A$2:$F$61, 3, FALSE)</f>
        <v>Electronics</v>
      </c>
      <c r="M1070" t="str">
        <f>VLOOKUP(E1066, Sales_Reps!$A$2:$E$31, 3, FALSE)</f>
        <v>North</v>
      </c>
      <c r="N1070">
        <f>VLOOKUP(D1070, Products!$A$2:$F$61, 4, FALSE)</f>
        <v>1149</v>
      </c>
    </row>
    <row r="1071" spans="1:14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 t="str">
        <f>VLOOKUP(D1071, Products!$A$2:$F$61, 3, FALSE)</f>
        <v>Apparel</v>
      </c>
      <c r="M1071" t="str">
        <f>VLOOKUP(E1067, Sales_Reps!$A$2:$E$31, 3, FALSE)</f>
        <v>South</v>
      </c>
      <c r="N1071">
        <f>VLOOKUP(D1071, Products!$A$2:$F$61, 4, FALSE)</f>
        <v>2509</v>
      </c>
    </row>
    <row r="1072" spans="1:14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 t="str">
        <f>VLOOKUP(D1072, Products!$A$2:$F$61, 3, FALSE)</f>
        <v>Sports</v>
      </c>
      <c r="M1072" t="str">
        <f>VLOOKUP(E1068, Sales_Reps!$A$2:$E$31, 3, FALSE)</f>
        <v>East</v>
      </c>
      <c r="N1072">
        <f>VLOOKUP(D1072, Products!$A$2:$F$61, 4, FALSE)</f>
        <v>302</v>
      </c>
    </row>
    <row r="1073" spans="1:14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 t="str">
        <f>VLOOKUP(D1073, Products!$A$2:$F$61, 3, FALSE)</f>
        <v>Electronics</v>
      </c>
      <c r="M1073" t="str">
        <f>VLOOKUP(E1069, Sales_Reps!$A$2:$E$31, 3, FALSE)</f>
        <v>South</v>
      </c>
      <c r="N1073">
        <f>VLOOKUP(D1073, Products!$A$2:$F$61, 4, FALSE)</f>
        <v>2405</v>
      </c>
    </row>
    <row r="1074" spans="1:14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 t="str">
        <f>VLOOKUP(D1074, Products!$A$2:$F$61, 3, FALSE)</f>
        <v>Beauty</v>
      </c>
      <c r="M1074" t="str">
        <f>VLOOKUP(E1070, Sales_Reps!$A$2:$E$31, 3, FALSE)</f>
        <v>West</v>
      </c>
      <c r="N1074">
        <f>VLOOKUP(D1074, Products!$A$2:$F$61, 4, FALSE)</f>
        <v>2617</v>
      </c>
    </row>
    <row r="1075" spans="1:14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 t="str">
        <f>VLOOKUP(D1075, Products!$A$2:$F$61, 3, FALSE)</f>
        <v>Beauty</v>
      </c>
      <c r="M1075" t="str">
        <f>VLOOKUP(E1071, Sales_Reps!$A$2:$E$31, 3, FALSE)</f>
        <v>South</v>
      </c>
      <c r="N1075">
        <f>VLOOKUP(D1075, Products!$A$2:$F$61, 4, FALSE)</f>
        <v>1728</v>
      </c>
    </row>
    <row r="1076" spans="1:14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 t="str">
        <f>VLOOKUP(D1076, Products!$A$2:$F$61, 3, FALSE)</f>
        <v>Sports</v>
      </c>
      <c r="M1076" t="str">
        <f>VLOOKUP(E1072, Sales_Reps!$A$2:$E$31, 3, FALSE)</f>
        <v>East</v>
      </c>
      <c r="N1076">
        <f>VLOOKUP(D1076, Products!$A$2:$F$61, 4, FALSE)</f>
        <v>2827</v>
      </c>
    </row>
    <row r="1077" spans="1:14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 t="str">
        <f>VLOOKUP(D1077, Products!$A$2:$F$61, 3, FALSE)</f>
        <v>Home</v>
      </c>
      <c r="M1077" t="str">
        <f>VLOOKUP(E1073, Sales_Reps!$A$2:$E$31, 3, FALSE)</f>
        <v>South</v>
      </c>
      <c r="N1077">
        <f>VLOOKUP(D1077, Products!$A$2:$F$61, 4, FALSE)</f>
        <v>288</v>
      </c>
    </row>
    <row r="1078" spans="1:14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 t="str">
        <f>VLOOKUP(D1078, Products!$A$2:$F$61, 3, FALSE)</f>
        <v>Home</v>
      </c>
      <c r="M1078" t="str">
        <f>VLOOKUP(E1074, Sales_Reps!$A$2:$E$31, 3, FALSE)</f>
        <v>South</v>
      </c>
      <c r="N1078">
        <f>VLOOKUP(D1078, Products!$A$2:$F$61, 4, FALSE)</f>
        <v>2549</v>
      </c>
    </row>
    <row r="1079" spans="1:14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 t="str">
        <f>VLOOKUP(D1079, Products!$A$2:$F$61, 3, FALSE)</f>
        <v>Grocery</v>
      </c>
      <c r="M1079" t="str">
        <f>VLOOKUP(E1075, Sales_Reps!$A$2:$E$31, 3, FALSE)</f>
        <v>West</v>
      </c>
      <c r="N1079">
        <f>VLOOKUP(D1079, Products!$A$2:$F$61, 4, FALSE)</f>
        <v>2214</v>
      </c>
    </row>
    <row r="1080" spans="1:14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 t="str">
        <f>VLOOKUP(D1080, Products!$A$2:$F$61, 3, FALSE)</f>
        <v>Electronics</v>
      </c>
      <c r="M1080" t="str">
        <f>VLOOKUP(E1076, Sales_Reps!$A$2:$E$31, 3, FALSE)</f>
        <v>West</v>
      </c>
      <c r="N1080">
        <f>VLOOKUP(D1080, Products!$A$2:$F$61, 4, FALSE)</f>
        <v>128</v>
      </c>
    </row>
    <row r="1081" spans="1:14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 t="str">
        <f>VLOOKUP(D1081, Products!$A$2:$F$61, 3, FALSE)</f>
        <v>Electronics</v>
      </c>
      <c r="M1081" t="str">
        <f>VLOOKUP(E1077, Sales_Reps!$A$2:$E$31, 3, FALSE)</f>
        <v>North</v>
      </c>
      <c r="N1081">
        <f>VLOOKUP(D1081, Products!$A$2:$F$61, 4, FALSE)</f>
        <v>128</v>
      </c>
    </row>
    <row r="1082" spans="1:14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 t="str">
        <f>VLOOKUP(D1082, Products!$A$2:$F$61, 3, FALSE)</f>
        <v>Beauty</v>
      </c>
      <c r="M1082" t="str">
        <f>VLOOKUP(E1078, Sales_Reps!$A$2:$E$31, 3, FALSE)</f>
        <v>East</v>
      </c>
      <c r="N1082">
        <f>VLOOKUP(D1082, Products!$A$2:$F$61, 4, FALSE)</f>
        <v>675</v>
      </c>
    </row>
    <row r="1083" spans="1:14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 t="str">
        <f>VLOOKUP(D1083, Products!$A$2:$F$61, 3, FALSE)</f>
        <v>Grocery</v>
      </c>
      <c r="M1083" t="str">
        <f>VLOOKUP(E1079, Sales_Reps!$A$2:$E$31, 3, FALSE)</f>
        <v>South</v>
      </c>
      <c r="N1083">
        <f>VLOOKUP(D1083, Products!$A$2:$F$61, 4, FALSE)</f>
        <v>1412</v>
      </c>
    </row>
    <row r="1084" spans="1:14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 t="str">
        <f>VLOOKUP(D1084, Products!$A$2:$F$61, 3, FALSE)</f>
        <v>Home</v>
      </c>
      <c r="M1084" t="str">
        <f>VLOOKUP(E1080, Sales_Reps!$A$2:$E$31, 3, FALSE)</f>
        <v>West</v>
      </c>
      <c r="N1084">
        <f>VLOOKUP(D1084, Products!$A$2:$F$61, 4, FALSE)</f>
        <v>1143</v>
      </c>
    </row>
    <row r="1085" spans="1:14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 t="str">
        <f>VLOOKUP(D1085, Products!$A$2:$F$61, 3, FALSE)</f>
        <v>Home</v>
      </c>
      <c r="M1085" t="str">
        <f>VLOOKUP(E1081, Sales_Reps!$A$2:$E$31, 3, FALSE)</f>
        <v>South</v>
      </c>
      <c r="N1085">
        <f>VLOOKUP(D1085, Products!$A$2:$F$61, 4, FALSE)</f>
        <v>519</v>
      </c>
    </row>
    <row r="1086" spans="1:14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 t="str">
        <f>VLOOKUP(D1086, Products!$A$2:$F$61, 3, FALSE)</f>
        <v>Sports</v>
      </c>
      <c r="M1086" t="str">
        <f>VLOOKUP(E1082, Sales_Reps!$A$2:$E$31, 3, FALSE)</f>
        <v>South</v>
      </c>
      <c r="N1086">
        <f>VLOOKUP(D1086, Products!$A$2:$F$61, 4, FALSE)</f>
        <v>2028</v>
      </c>
    </row>
    <row r="1087" spans="1:14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 t="str">
        <f>VLOOKUP(D1087, Products!$A$2:$F$61, 3, FALSE)</f>
        <v>Grocery</v>
      </c>
      <c r="M1087" t="str">
        <f>VLOOKUP(E1083, Sales_Reps!$A$2:$E$31, 3, FALSE)</f>
        <v>West</v>
      </c>
      <c r="N1087">
        <f>VLOOKUP(D1087, Products!$A$2:$F$61, 4, FALSE)</f>
        <v>1203</v>
      </c>
    </row>
    <row r="1088" spans="1:14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 t="str">
        <f>VLOOKUP(D1088, Products!$A$2:$F$61, 3, FALSE)</f>
        <v>Apparel</v>
      </c>
      <c r="M1088" t="str">
        <f>VLOOKUP(E1084, Sales_Reps!$A$2:$E$31, 3, FALSE)</f>
        <v>West</v>
      </c>
      <c r="N1088">
        <f>VLOOKUP(D1088, Products!$A$2:$F$61, 4, FALSE)</f>
        <v>1962</v>
      </c>
    </row>
    <row r="1089" spans="1:14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 t="str">
        <f>VLOOKUP(D1089, Products!$A$2:$F$61, 3, FALSE)</f>
        <v>Electronics</v>
      </c>
      <c r="M1089" t="str">
        <f>VLOOKUP(E1085, Sales_Reps!$A$2:$E$31, 3, FALSE)</f>
        <v>East</v>
      </c>
      <c r="N1089">
        <f>VLOOKUP(D1089, Products!$A$2:$F$61, 4, FALSE)</f>
        <v>1559</v>
      </c>
    </row>
    <row r="1090" spans="1:14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 t="str">
        <f>VLOOKUP(D1090, Products!$A$2:$F$61, 3, FALSE)</f>
        <v>Apparel</v>
      </c>
      <c r="M1090" t="str">
        <f>VLOOKUP(E1086, Sales_Reps!$A$2:$E$31, 3, FALSE)</f>
        <v>West</v>
      </c>
      <c r="N1090">
        <f>VLOOKUP(D1090, Products!$A$2:$F$61, 4, FALSE)</f>
        <v>1748</v>
      </c>
    </row>
    <row r="1091" spans="1:14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 t="str">
        <f>VLOOKUP(D1091, Products!$A$2:$F$61, 3, FALSE)</f>
        <v>Sports</v>
      </c>
      <c r="M1091" t="str">
        <f>VLOOKUP(E1087, Sales_Reps!$A$2:$E$31, 3, FALSE)</f>
        <v>South</v>
      </c>
      <c r="N1091">
        <f>VLOOKUP(D1091, Products!$A$2:$F$61, 4, FALSE)</f>
        <v>302</v>
      </c>
    </row>
    <row r="1092" spans="1:14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 t="str">
        <f>VLOOKUP(D1092, Products!$A$2:$F$61, 3, FALSE)</f>
        <v>Electronics</v>
      </c>
      <c r="M1092" t="str">
        <f>VLOOKUP(E1088, Sales_Reps!$A$2:$E$31, 3, FALSE)</f>
        <v>West</v>
      </c>
      <c r="N1092">
        <f>VLOOKUP(D1092, Products!$A$2:$F$61, 4, FALSE)</f>
        <v>2865</v>
      </c>
    </row>
    <row r="1093" spans="1:14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 t="str">
        <f>VLOOKUP(D1093, Products!$A$2:$F$61, 3, FALSE)</f>
        <v>Beauty</v>
      </c>
      <c r="M1093" t="str">
        <f>VLOOKUP(E1089, Sales_Reps!$A$2:$E$31, 3, FALSE)</f>
        <v>North</v>
      </c>
      <c r="N1093">
        <f>VLOOKUP(D1093, Products!$A$2:$F$61, 4, FALSE)</f>
        <v>2237</v>
      </c>
    </row>
    <row r="1094" spans="1:14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 t="str">
        <f>VLOOKUP(D1094, Products!$A$2:$F$61, 3, FALSE)</f>
        <v>Beauty</v>
      </c>
      <c r="M1094" t="str">
        <f>VLOOKUP(E1090, Sales_Reps!$A$2:$E$31, 3, FALSE)</f>
        <v>East</v>
      </c>
      <c r="N1094">
        <f>VLOOKUP(D1094, Products!$A$2:$F$61, 4, FALSE)</f>
        <v>2420</v>
      </c>
    </row>
    <row r="1095" spans="1:14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 t="str">
        <f>VLOOKUP(D1095, Products!$A$2:$F$61, 3, FALSE)</f>
        <v>Home</v>
      </c>
      <c r="M1095" t="str">
        <f>VLOOKUP(E1091, Sales_Reps!$A$2:$E$31, 3, FALSE)</f>
        <v>North</v>
      </c>
      <c r="N1095">
        <f>VLOOKUP(D1095, Products!$A$2:$F$61, 4, FALSE)</f>
        <v>2135</v>
      </c>
    </row>
    <row r="1096" spans="1:14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 t="str">
        <f>VLOOKUP(D1096, Products!$A$2:$F$61, 3, FALSE)</f>
        <v>Beauty</v>
      </c>
      <c r="M1096" t="str">
        <f>VLOOKUP(E1092, Sales_Reps!$A$2:$E$31, 3, FALSE)</f>
        <v>South</v>
      </c>
      <c r="N1096">
        <f>VLOOKUP(D1096, Products!$A$2:$F$61, 4, FALSE)</f>
        <v>675</v>
      </c>
    </row>
    <row r="1097" spans="1:14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 t="str">
        <f>VLOOKUP(D1097, Products!$A$2:$F$61, 3, FALSE)</f>
        <v>Home</v>
      </c>
      <c r="M1097" t="str">
        <f>VLOOKUP(E1093, Sales_Reps!$A$2:$E$31, 3, FALSE)</f>
        <v>South</v>
      </c>
      <c r="N1097">
        <f>VLOOKUP(D1097, Products!$A$2:$F$61, 4, FALSE)</f>
        <v>2459</v>
      </c>
    </row>
    <row r="1098" spans="1:14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 t="str">
        <f>VLOOKUP(D1098, Products!$A$2:$F$61, 3, FALSE)</f>
        <v>Electronics</v>
      </c>
      <c r="M1098" t="str">
        <f>VLOOKUP(E1094, Sales_Reps!$A$2:$E$31, 3, FALSE)</f>
        <v>North</v>
      </c>
      <c r="N1098">
        <f>VLOOKUP(D1098, Products!$A$2:$F$61, 4, FALSE)</f>
        <v>1559</v>
      </c>
    </row>
    <row r="1099" spans="1:14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 t="str">
        <f>VLOOKUP(D1099, Products!$A$2:$F$61, 3, FALSE)</f>
        <v>Sports</v>
      </c>
      <c r="M1099" t="str">
        <f>VLOOKUP(E1095, Sales_Reps!$A$2:$E$31, 3, FALSE)</f>
        <v>South</v>
      </c>
      <c r="N1099">
        <f>VLOOKUP(D1099, Products!$A$2:$F$61, 4, FALSE)</f>
        <v>1860</v>
      </c>
    </row>
    <row r="1100" spans="1:14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 t="str">
        <f>VLOOKUP(D1100, Products!$A$2:$F$61, 3, FALSE)</f>
        <v>Electronics</v>
      </c>
      <c r="M1100" t="str">
        <f>VLOOKUP(E1096, Sales_Reps!$A$2:$E$31, 3, FALSE)</f>
        <v>East</v>
      </c>
      <c r="N1100">
        <f>VLOOKUP(D1100, Products!$A$2:$F$61, 4, FALSE)</f>
        <v>1559</v>
      </c>
    </row>
    <row r="1101" spans="1:14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 t="str">
        <f>VLOOKUP(D1101, Products!$A$2:$F$61, 3, FALSE)</f>
        <v>Home</v>
      </c>
      <c r="M1101" t="str">
        <f>VLOOKUP(E1097, Sales_Reps!$A$2:$E$31, 3, FALSE)</f>
        <v>North</v>
      </c>
      <c r="N1101">
        <f>VLOOKUP(D1101, Products!$A$2:$F$61, 4, FALSE)</f>
        <v>1143</v>
      </c>
    </row>
    <row r="1102" spans="1:14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 t="str">
        <f>VLOOKUP(D1102, Products!$A$2:$F$61, 3, FALSE)</f>
        <v>Grocery</v>
      </c>
      <c r="M1102" t="str">
        <f>VLOOKUP(E1098, Sales_Reps!$A$2:$E$31, 3, FALSE)</f>
        <v>North</v>
      </c>
      <c r="N1102">
        <f>VLOOKUP(D1102, Products!$A$2:$F$61, 4, FALSE)</f>
        <v>1010</v>
      </c>
    </row>
    <row r="1103" spans="1:14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 t="str">
        <f>VLOOKUP(D1103, Products!$A$2:$F$61, 3, FALSE)</f>
        <v>Beauty</v>
      </c>
      <c r="M1103" t="str">
        <f>VLOOKUP(E1099, Sales_Reps!$A$2:$E$31, 3, FALSE)</f>
        <v>West</v>
      </c>
      <c r="N1103">
        <f>VLOOKUP(D1103, Products!$A$2:$F$61, 4, FALSE)</f>
        <v>647</v>
      </c>
    </row>
    <row r="1104" spans="1:14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 t="str">
        <f>VLOOKUP(D1104, Products!$A$2:$F$61, 3, FALSE)</f>
        <v>Sports</v>
      </c>
      <c r="M1104" t="str">
        <f>VLOOKUP(E1100, Sales_Reps!$A$2:$E$31, 3, FALSE)</f>
        <v>East</v>
      </c>
      <c r="N1104">
        <f>VLOOKUP(D1104, Products!$A$2:$F$61, 4, FALSE)</f>
        <v>516</v>
      </c>
    </row>
    <row r="1105" spans="1:14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 t="str">
        <f>VLOOKUP(D1105, Products!$A$2:$F$61, 3, FALSE)</f>
        <v>Electronics</v>
      </c>
      <c r="M1105" t="str">
        <f>VLOOKUP(E1101, Sales_Reps!$A$2:$E$31, 3, FALSE)</f>
        <v>South</v>
      </c>
      <c r="N1105">
        <f>VLOOKUP(D1105, Products!$A$2:$F$61, 4, FALSE)</f>
        <v>2405</v>
      </c>
    </row>
    <row r="1106" spans="1:14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 t="str">
        <f>VLOOKUP(D1106, Products!$A$2:$F$61, 3, FALSE)</f>
        <v>Electronics</v>
      </c>
      <c r="M1106" t="str">
        <f>VLOOKUP(E1102, Sales_Reps!$A$2:$E$31, 3, FALSE)</f>
        <v>North</v>
      </c>
      <c r="N1106">
        <f>VLOOKUP(D1106, Products!$A$2:$F$61, 4, FALSE)</f>
        <v>1665</v>
      </c>
    </row>
    <row r="1107" spans="1:14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 t="str">
        <f>VLOOKUP(D1107, Products!$A$2:$F$61, 3, FALSE)</f>
        <v>Beauty</v>
      </c>
      <c r="M1107" t="str">
        <f>VLOOKUP(E1103, Sales_Reps!$A$2:$E$31, 3, FALSE)</f>
        <v>East</v>
      </c>
      <c r="N1107">
        <f>VLOOKUP(D1107, Products!$A$2:$F$61, 4, FALSE)</f>
        <v>1728</v>
      </c>
    </row>
    <row r="1108" spans="1:14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 t="str">
        <f>VLOOKUP(D1108, Products!$A$2:$F$61, 3, FALSE)</f>
        <v>Apparel</v>
      </c>
      <c r="M1108" t="str">
        <f>VLOOKUP(E1104, Sales_Reps!$A$2:$E$31, 3, FALSE)</f>
        <v>South</v>
      </c>
      <c r="N1108">
        <f>VLOOKUP(D1108, Products!$A$2:$F$61, 4, FALSE)</f>
        <v>1075</v>
      </c>
    </row>
    <row r="1109" spans="1:14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 t="str">
        <f>VLOOKUP(D1109, Products!$A$2:$F$61, 3, FALSE)</f>
        <v>Grocery</v>
      </c>
      <c r="M1109" t="str">
        <f>VLOOKUP(E1105, Sales_Reps!$A$2:$E$31, 3, FALSE)</f>
        <v>South</v>
      </c>
      <c r="N1109">
        <f>VLOOKUP(D1109, Products!$A$2:$F$61, 4, FALSE)</f>
        <v>434</v>
      </c>
    </row>
    <row r="1110" spans="1:14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 t="str">
        <f>VLOOKUP(D1110, Products!$A$2:$F$61, 3, FALSE)</f>
        <v>Grocery</v>
      </c>
      <c r="M1110" t="str">
        <f>VLOOKUP(E1106, Sales_Reps!$A$2:$E$31, 3, FALSE)</f>
        <v>East</v>
      </c>
      <c r="N1110">
        <f>VLOOKUP(D1110, Products!$A$2:$F$61, 4, FALSE)</f>
        <v>2436</v>
      </c>
    </row>
    <row r="1111" spans="1:14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 t="str">
        <f>VLOOKUP(D1111, Products!$A$2:$F$61, 3, FALSE)</f>
        <v>Apparel</v>
      </c>
      <c r="M1111" t="str">
        <f>VLOOKUP(E1107, Sales_Reps!$A$2:$E$31, 3, FALSE)</f>
        <v>East</v>
      </c>
      <c r="N1111">
        <f>VLOOKUP(D1111, Products!$A$2:$F$61, 4, FALSE)</f>
        <v>1075</v>
      </c>
    </row>
    <row r="1112" spans="1:14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 t="str">
        <f>VLOOKUP(D1112, Products!$A$2:$F$61, 3, FALSE)</f>
        <v>Home</v>
      </c>
      <c r="M1112" t="str">
        <f>VLOOKUP(E1108, Sales_Reps!$A$2:$E$31, 3, FALSE)</f>
        <v>East</v>
      </c>
      <c r="N1112">
        <f>VLOOKUP(D1112, Products!$A$2:$F$61, 4, FALSE)</f>
        <v>1143</v>
      </c>
    </row>
    <row r="1113" spans="1:14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 t="str">
        <f>VLOOKUP(D1113, Products!$A$2:$F$61, 3, FALSE)</f>
        <v>Sports</v>
      </c>
      <c r="M1113" t="str">
        <f>VLOOKUP(E1109, Sales_Reps!$A$2:$E$31, 3, FALSE)</f>
        <v>West</v>
      </c>
      <c r="N1113">
        <f>VLOOKUP(D1113, Products!$A$2:$F$61, 4, FALSE)</f>
        <v>147</v>
      </c>
    </row>
    <row r="1114" spans="1:14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 t="str">
        <f>VLOOKUP(D1114, Products!$A$2:$F$61, 3, FALSE)</f>
        <v>Grocery</v>
      </c>
      <c r="M1114" t="str">
        <f>VLOOKUP(E1110, Sales_Reps!$A$2:$E$31, 3, FALSE)</f>
        <v>North</v>
      </c>
      <c r="N1114">
        <f>VLOOKUP(D1114, Products!$A$2:$F$61, 4, FALSE)</f>
        <v>1010</v>
      </c>
    </row>
    <row r="1115" spans="1:14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 t="str">
        <f>VLOOKUP(D1115, Products!$A$2:$F$61, 3, FALSE)</f>
        <v>Apparel</v>
      </c>
      <c r="M1115" t="str">
        <f>VLOOKUP(E1111, Sales_Reps!$A$2:$E$31, 3, FALSE)</f>
        <v>North</v>
      </c>
      <c r="N1115">
        <f>VLOOKUP(D1115, Products!$A$2:$F$61, 4, FALSE)</f>
        <v>2611</v>
      </c>
    </row>
    <row r="1116" spans="1:14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 t="str">
        <f>VLOOKUP(D1116, Products!$A$2:$F$61, 3, FALSE)</f>
        <v>Electronics</v>
      </c>
      <c r="M1116" t="str">
        <f>VLOOKUP(E1112, Sales_Reps!$A$2:$E$31, 3, FALSE)</f>
        <v>North</v>
      </c>
      <c r="N1116">
        <f>VLOOKUP(D1116, Products!$A$2:$F$61, 4, FALSE)</f>
        <v>517</v>
      </c>
    </row>
    <row r="1117" spans="1:14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 t="str">
        <f>VLOOKUP(D1117, Products!$A$2:$F$61, 3, FALSE)</f>
        <v>Sports</v>
      </c>
      <c r="M1117" t="str">
        <f>VLOOKUP(E1113, Sales_Reps!$A$2:$E$31, 3, FALSE)</f>
        <v>South</v>
      </c>
      <c r="N1117">
        <f>VLOOKUP(D1117, Products!$A$2:$F$61, 4, FALSE)</f>
        <v>2827</v>
      </c>
    </row>
    <row r="1118" spans="1:14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 t="str">
        <f>VLOOKUP(D1118, Products!$A$2:$F$61, 3, FALSE)</f>
        <v>Sports</v>
      </c>
      <c r="M1118" t="str">
        <f>VLOOKUP(E1114, Sales_Reps!$A$2:$E$31, 3, FALSE)</f>
        <v>East</v>
      </c>
      <c r="N1118">
        <f>VLOOKUP(D1118, Products!$A$2:$F$61, 4, FALSE)</f>
        <v>2028</v>
      </c>
    </row>
    <row r="1119" spans="1:14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 t="str">
        <f>VLOOKUP(D1119, Products!$A$2:$F$61, 3, FALSE)</f>
        <v>Apparel</v>
      </c>
      <c r="M1119" t="str">
        <f>VLOOKUP(E1115, Sales_Reps!$A$2:$E$31, 3, FALSE)</f>
        <v>North</v>
      </c>
      <c r="N1119">
        <f>VLOOKUP(D1119, Products!$A$2:$F$61, 4, FALSE)</f>
        <v>1962</v>
      </c>
    </row>
    <row r="1120" spans="1:14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 t="str">
        <f>VLOOKUP(D1120, Products!$A$2:$F$61, 3, FALSE)</f>
        <v>Apparel</v>
      </c>
      <c r="M1120" t="str">
        <f>VLOOKUP(E1116, Sales_Reps!$A$2:$E$31, 3, FALSE)</f>
        <v>South</v>
      </c>
      <c r="N1120">
        <f>VLOOKUP(D1120, Products!$A$2:$F$61, 4, FALSE)</f>
        <v>391</v>
      </c>
    </row>
    <row r="1121" spans="1:14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 t="str">
        <f>VLOOKUP(D1121, Products!$A$2:$F$61, 3, FALSE)</f>
        <v>Beauty</v>
      </c>
      <c r="M1121" t="str">
        <f>VLOOKUP(E1117, Sales_Reps!$A$2:$E$31, 3, FALSE)</f>
        <v>South</v>
      </c>
      <c r="N1121">
        <f>VLOOKUP(D1121, Products!$A$2:$F$61, 4, FALSE)</f>
        <v>1219</v>
      </c>
    </row>
    <row r="1122" spans="1:14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 t="str">
        <f>VLOOKUP(D1122, Products!$A$2:$F$61, 3, FALSE)</f>
        <v>Beauty</v>
      </c>
      <c r="M1122" t="str">
        <f>VLOOKUP(E1118, Sales_Reps!$A$2:$E$31, 3, FALSE)</f>
        <v>South</v>
      </c>
      <c r="N1122">
        <f>VLOOKUP(D1122, Products!$A$2:$F$61, 4, FALSE)</f>
        <v>2420</v>
      </c>
    </row>
    <row r="1123" spans="1:14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 t="str">
        <f>VLOOKUP(D1123, Products!$A$2:$F$61, 3, FALSE)</f>
        <v>Home</v>
      </c>
      <c r="M1123" t="str">
        <f>VLOOKUP(E1119, Sales_Reps!$A$2:$E$31, 3, FALSE)</f>
        <v>East</v>
      </c>
      <c r="N1123">
        <f>VLOOKUP(D1123, Products!$A$2:$F$61, 4, FALSE)</f>
        <v>1143</v>
      </c>
    </row>
    <row r="1124" spans="1:14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 t="str">
        <f>VLOOKUP(D1124, Products!$A$2:$F$61, 3, FALSE)</f>
        <v>Sports</v>
      </c>
      <c r="M1124" t="str">
        <f>VLOOKUP(E1120, Sales_Reps!$A$2:$E$31, 3, FALSE)</f>
        <v>North</v>
      </c>
      <c r="N1124">
        <f>VLOOKUP(D1124, Products!$A$2:$F$61, 4, FALSE)</f>
        <v>974</v>
      </c>
    </row>
    <row r="1125" spans="1:14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 t="str">
        <f>VLOOKUP(D1125, Products!$A$2:$F$61, 3, FALSE)</f>
        <v>Home</v>
      </c>
      <c r="M1125" t="str">
        <f>VLOOKUP(E1121, Sales_Reps!$A$2:$E$31, 3, FALSE)</f>
        <v>East</v>
      </c>
      <c r="N1125">
        <f>VLOOKUP(D1125, Products!$A$2:$F$61, 4, FALSE)</f>
        <v>1143</v>
      </c>
    </row>
    <row r="1126" spans="1:14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 t="str">
        <f>VLOOKUP(D1126, Products!$A$2:$F$61, 3, FALSE)</f>
        <v>Grocery</v>
      </c>
      <c r="M1126" t="str">
        <f>VLOOKUP(E1122, Sales_Reps!$A$2:$E$31, 3, FALSE)</f>
        <v>East</v>
      </c>
      <c r="N1126">
        <f>VLOOKUP(D1126, Products!$A$2:$F$61, 4, FALSE)</f>
        <v>2911</v>
      </c>
    </row>
    <row r="1127" spans="1:14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 t="str">
        <f>VLOOKUP(D1127, Products!$A$2:$F$61, 3, FALSE)</f>
        <v>Home</v>
      </c>
      <c r="M1127" t="str">
        <f>VLOOKUP(E1123, Sales_Reps!$A$2:$E$31, 3, FALSE)</f>
        <v>North</v>
      </c>
      <c r="N1127">
        <f>VLOOKUP(D1127, Products!$A$2:$F$61, 4, FALSE)</f>
        <v>1143</v>
      </c>
    </row>
    <row r="1128" spans="1:14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 t="str">
        <f>VLOOKUP(D1128, Products!$A$2:$F$61, 3, FALSE)</f>
        <v>Beauty</v>
      </c>
      <c r="M1128" t="str">
        <f>VLOOKUP(E1124, Sales_Reps!$A$2:$E$31, 3, FALSE)</f>
        <v>East</v>
      </c>
      <c r="N1128">
        <f>VLOOKUP(D1128, Products!$A$2:$F$61, 4, FALSE)</f>
        <v>1728</v>
      </c>
    </row>
    <row r="1129" spans="1:14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 t="str">
        <f>VLOOKUP(D1129, Products!$A$2:$F$61, 3, FALSE)</f>
        <v>Home</v>
      </c>
      <c r="M1129" t="str">
        <f>VLOOKUP(E1125, Sales_Reps!$A$2:$E$31, 3, FALSE)</f>
        <v>South</v>
      </c>
      <c r="N1129">
        <f>VLOOKUP(D1129, Products!$A$2:$F$61, 4, FALSE)</f>
        <v>329</v>
      </c>
    </row>
    <row r="1130" spans="1:14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 t="str">
        <f>VLOOKUP(D1130, Products!$A$2:$F$61, 3, FALSE)</f>
        <v>Beauty</v>
      </c>
      <c r="M1130" t="str">
        <f>VLOOKUP(E1126, Sales_Reps!$A$2:$E$31, 3, FALSE)</f>
        <v>North</v>
      </c>
      <c r="N1130">
        <f>VLOOKUP(D1130, Products!$A$2:$F$61, 4, FALSE)</f>
        <v>1626</v>
      </c>
    </row>
    <row r="1131" spans="1:14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 t="str">
        <f>VLOOKUP(D1131, Products!$A$2:$F$61, 3, FALSE)</f>
        <v>Electronics</v>
      </c>
      <c r="M1131" t="str">
        <f>VLOOKUP(E1127, Sales_Reps!$A$2:$E$31, 3, FALSE)</f>
        <v>South</v>
      </c>
      <c r="N1131">
        <f>VLOOKUP(D1131, Products!$A$2:$F$61, 4, FALSE)</f>
        <v>1259</v>
      </c>
    </row>
    <row r="1132" spans="1:14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 t="str">
        <f>VLOOKUP(D1132, Products!$A$2:$F$61, 3, FALSE)</f>
        <v>Sports</v>
      </c>
      <c r="M1132" t="str">
        <f>VLOOKUP(E1128, Sales_Reps!$A$2:$E$31, 3, FALSE)</f>
        <v>South</v>
      </c>
      <c r="N1132">
        <f>VLOOKUP(D1132, Products!$A$2:$F$61, 4, FALSE)</f>
        <v>516</v>
      </c>
    </row>
    <row r="1133" spans="1:14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 t="str">
        <f>VLOOKUP(D1133, Products!$A$2:$F$61, 3, FALSE)</f>
        <v>Home</v>
      </c>
      <c r="M1133" t="str">
        <f>VLOOKUP(E1129, Sales_Reps!$A$2:$E$31, 3, FALSE)</f>
        <v>North</v>
      </c>
      <c r="N1133">
        <f>VLOOKUP(D1133, Products!$A$2:$F$61, 4, FALSE)</f>
        <v>2549</v>
      </c>
    </row>
    <row r="1134" spans="1:14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 t="str">
        <f>VLOOKUP(D1134, Products!$A$2:$F$61, 3, FALSE)</f>
        <v>Sports</v>
      </c>
      <c r="M1134" t="str">
        <f>VLOOKUP(E1130, Sales_Reps!$A$2:$E$31, 3, FALSE)</f>
        <v>South</v>
      </c>
      <c r="N1134">
        <f>VLOOKUP(D1134, Products!$A$2:$F$61, 4, FALSE)</f>
        <v>974</v>
      </c>
    </row>
    <row r="1135" spans="1:14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 t="str">
        <f>VLOOKUP(D1135, Products!$A$2:$F$61, 3, FALSE)</f>
        <v>Home</v>
      </c>
      <c r="M1135" t="str">
        <f>VLOOKUP(E1131, Sales_Reps!$A$2:$E$31, 3, FALSE)</f>
        <v>North</v>
      </c>
      <c r="N1135">
        <f>VLOOKUP(D1135, Products!$A$2:$F$61, 4, FALSE)</f>
        <v>329</v>
      </c>
    </row>
    <row r="1136" spans="1:14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 t="str">
        <f>VLOOKUP(D1136, Products!$A$2:$F$61, 3, FALSE)</f>
        <v>Electronics</v>
      </c>
      <c r="M1136" t="str">
        <f>VLOOKUP(E1132, Sales_Reps!$A$2:$E$31, 3, FALSE)</f>
        <v>North</v>
      </c>
      <c r="N1136">
        <f>VLOOKUP(D1136, Products!$A$2:$F$61, 4, FALSE)</f>
        <v>2405</v>
      </c>
    </row>
    <row r="1137" spans="1:14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 t="str">
        <f>VLOOKUP(D1137, Products!$A$2:$F$61, 3, FALSE)</f>
        <v>Electronics</v>
      </c>
      <c r="M1137" t="str">
        <f>VLOOKUP(E1133, Sales_Reps!$A$2:$E$31, 3, FALSE)</f>
        <v>East</v>
      </c>
      <c r="N1137">
        <f>VLOOKUP(D1137, Products!$A$2:$F$61, 4, FALSE)</f>
        <v>1052</v>
      </c>
    </row>
    <row r="1138" spans="1:14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 t="str">
        <f>VLOOKUP(D1138, Products!$A$2:$F$61, 3, FALSE)</f>
        <v>Home</v>
      </c>
      <c r="M1138" t="str">
        <f>VLOOKUP(E1134, Sales_Reps!$A$2:$E$31, 3, FALSE)</f>
        <v>East</v>
      </c>
      <c r="N1138">
        <f>VLOOKUP(D1138, Products!$A$2:$F$61, 4, FALSE)</f>
        <v>2459</v>
      </c>
    </row>
    <row r="1139" spans="1:14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 t="str">
        <f>VLOOKUP(D1139, Products!$A$2:$F$61, 3, FALSE)</f>
        <v>Grocery</v>
      </c>
      <c r="M1139" t="str">
        <f>VLOOKUP(E1135, Sales_Reps!$A$2:$E$31, 3, FALSE)</f>
        <v>South</v>
      </c>
      <c r="N1139">
        <f>VLOOKUP(D1139, Products!$A$2:$F$61, 4, FALSE)</f>
        <v>1182</v>
      </c>
    </row>
    <row r="1140" spans="1:14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 t="str">
        <f>VLOOKUP(D1140, Products!$A$2:$F$61, 3, FALSE)</f>
        <v>Beauty</v>
      </c>
      <c r="M1140" t="str">
        <f>VLOOKUP(E1136, Sales_Reps!$A$2:$E$31, 3, FALSE)</f>
        <v>South</v>
      </c>
      <c r="N1140">
        <f>VLOOKUP(D1140, Products!$A$2:$F$61, 4, FALSE)</f>
        <v>2768</v>
      </c>
    </row>
    <row r="1141" spans="1:14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 t="str">
        <f>VLOOKUP(D1141, Products!$A$2:$F$61, 3, FALSE)</f>
        <v>Beauty</v>
      </c>
      <c r="M1141" t="str">
        <f>VLOOKUP(E1137, Sales_Reps!$A$2:$E$31, 3, FALSE)</f>
        <v>North</v>
      </c>
      <c r="N1141">
        <f>VLOOKUP(D1141, Products!$A$2:$F$61, 4, FALSE)</f>
        <v>1728</v>
      </c>
    </row>
    <row r="1142" spans="1:14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 t="str">
        <f>VLOOKUP(D1142, Products!$A$2:$F$61, 3, FALSE)</f>
        <v>Grocery</v>
      </c>
      <c r="M1142" t="str">
        <f>VLOOKUP(E1138, Sales_Reps!$A$2:$E$31, 3, FALSE)</f>
        <v>East</v>
      </c>
      <c r="N1142">
        <f>VLOOKUP(D1142, Products!$A$2:$F$61, 4, FALSE)</f>
        <v>434</v>
      </c>
    </row>
    <row r="1143" spans="1:14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 t="str">
        <f>VLOOKUP(D1143, Products!$A$2:$F$61, 3, FALSE)</f>
        <v>Electronics</v>
      </c>
      <c r="M1143" t="str">
        <f>VLOOKUP(E1139, Sales_Reps!$A$2:$E$31, 3, FALSE)</f>
        <v>North</v>
      </c>
      <c r="N1143">
        <f>VLOOKUP(D1143, Products!$A$2:$F$61, 4, FALSE)</f>
        <v>128</v>
      </c>
    </row>
    <row r="1144" spans="1:14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 t="str">
        <f>VLOOKUP(D1144, Products!$A$2:$F$61, 3, FALSE)</f>
        <v>Electronics</v>
      </c>
      <c r="M1144" t="str">
        <f>VLOOKUP(E1140, Sales_Reps!$A$2:$E$31, 3, FALSE)</f>
        <v>North</v>
      </c>
      <c r="N1144">
        <f>VLOOKUP(D1144, Products!$A$2:$F$61, 4, FALSE)</f>
        <v>2865</v>
      </c>
    </row>
    <row r="1145" spans="1:14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 t="str">
        <f>VLOOKUP(D1145, Products!$A$2:$F$61, 3, FALSE)</f>
        <v>Apparel</v>
      </c>
      <c r="M1145" t="str">
        <f>VLOOKUP(E1141, Sales_Reps!$A$2:$E$31, 3, FALSE)</f>
        <v>South</v>
      </c>
      <c r="N1145">
        <f>VLOOKUP(D1145, Products!$A$2:$F$61, 4, FALSE)</f>
        <v>1962</v>
      </c>
    </row>
    <row r="1146" spans="1:14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 t="str">
        <f>VLOOKUP(D1146, Products!$A$2:$F$61, 3, FALSE)</f>
        <v>Apparel</v>
      </c>
      <c r="M1146" t="str">
        <f>VLOOKUP(E1142, Sales_Reps!$A$2:$E$31, 3, FALSE)</f>
        <v>West</v>
      </c>
      <c r="N1146">
        <f>VLOOKUP(D1146, Products!$A$2:$F$61, 4, FALSE)</f>
        <v>396</v>
      </c>
    </row>
    <row r="1147" spans="1:14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 t="str">
        <f>VLOOKUP(D1147, Products!$A$2:$F$61, 3, FALSE)</f>
        <v>Beauty</v>
      </c>
      <c r="M1147" t="str">
        <f>VLOOKUP(E1143, Sales_Reps!$A$2:$E$31, 3, FALSE)</f>
        <v>East</v>
      </c>
      <c r="N1147">
        <f>VLOOKUP(D1147, Products!$A$2:$F$61, 4, FALSE)</f>
        <v>647</v>
      </c>
    </row>
    <row r="1148" spans="1:14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 t="str">
        <f>VLOOKUP(D1148, Products!$A$2:$F$61, 3, FALSE)</f>
        <v>Beauty</v>
      </c>
      <c r="M1148" t="str">
        <f>VLOOKUP(E1144, Sales_Reps!$A$2:$E$31, 3, FALSE)</f>
        <v>North</v>
      </c>
      <c r="N1148">
        <f>VLOOKUP(D1148, Products!$A$2:$F$61, 4, FALSE)</f>
        <v>1219</v>
      </c>
    </row>
    <row r="1149" spans="1:14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 t="str">
        <f>VLOOKUP(D1149, Products!$A$2:$F$61, 3, FALSE)</f>
        <v>Apparel</v>
      </c>
      <c r="M1149" t="str">
        <f>VLOOKUP(E1145, Sales_Reps!$A$2:$E$31, 3, FALSE)</f>
        <v>South</v>
      </c>
      <c r="N1149">
        <f>VLOOKUP(D1149, Products!$A$2:$F$61, 4, FALSE)</f>
        <v>1962</v>
      </c>
    </row>
    <row r="1150" spans="1:14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 t="str">
        <f>VLOOKUP(D1150, Products!$A$2:$F$61, 3, FALSE)</f>
        <v>Grocery</v>
      </c>
      <c r="M1150" t="str">
        <f>VLOOKUP(E1146, Sales_Reps!$A$2:$E$31, 3, FALSE)</f>
        <v>East</v>
      </c>
      <c r="N1150">
        <f>VLOOKUP(D1150, Products!$A$2:$F$61, 4, FALSE)</f>
        <v>2911</v>
      </c>
    </row>
    <row r="1151" spans="1:14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 t="str">
        <f>VLOOKUP(D1151, Products!$A$2:$F$61, 3, FALSE)</f>
        <v>Electronics</v>
      </c>
      <c r="M1151" t="str">
        <f>VLOOKUP(E1147, Sales_Reps!$A$2:$E$31, 3, FALSE)</f>
        <v>West</v>
      </c>
      <c r="N1151">
        <f>VLOOKUP(D1151, Products!$A$2:$F$61, 4, FALSE)</f>
        <v>1665</v>
      </c>
    </row>
    <row r="1152" spans="1:14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 t="str">
        <f>VLOOKUP(D1152, Products!$A$2:$F$61, 3, FALSE)</f>
        <v>Sports</v>
      </c>
      <c r="M1152" t="str">
        <f>VLOOKUP(E1148, Sales_Reps!$A$2:$E$31, 3, FALSE)</f>
        <v>West</v>
      </c>
      <c r="N1152">
        <f>VLOOKUP(D1152, Products!$A$2:$F$61, 4, FALSE)</f>
        <v>2467</v>
      </c>
    </row>
    <row r="1153" spans="1:14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 t="str">
        <f>VLOOKUP(D1153, Products!$A$2:$F$61, 3, FALSE)</f>
        <v>Electronics</v>
      </c>
      <c r="M1153" t="str">
        <f>VLOOKUP(E1149, Sales_Reps!$A$2:$E$31, 3, FALSE)</f>
        <v>East</v>
      </c>
      <c r="N1153">
        <f>VLOOKUP(D1153, Products!$A$2:$F$61, 4, FALSE)</f>
        <v>1149</v>
      </c>
    </row>
    <row r="1154" spans="1:14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 t="str">
        <f>VLOOKUP(D1154, Products!$A$2:$F$61, 3, FALSE)</f>
        <v>Home</v>
      </c>
      <c r="M1154" t="str">
        <f>VLOOKUP(E1150, Sales_Reps!$A$2:$E$31, 3, FALSE)</f>
        <v>East</v>
      </c>
      <c r="N1154">
        <f>VLOOKUP(D1154, Products!$A$2:$F$61, 4, FALSE)</f>
        <v>288</v>
      </c>
    </row>
    <row r="1155" spans="1:14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 t="str">
        <f>VLOOKUP(D1155, Products!$A$2:$F$61, 3, FALSE)</f>
        <v>Electronics</v>
      </c>
      <c r="M1155" t="str">
        <f>VLOOKUP(E1151, Sales_Reps!$A$2:$E$31, 3, FALSE)</f>
        <v>South</v>
      </c>
      <c r="N1155">
        <f>VLOOKUP(D1155, Products!$A$2:$F$61, 4, FALSE)</f>
        <v>517</v>
      </c>
    </row>
    <row r="1156" spans="1:14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 t="str">
        <f>VLOOKUP(D1156, Products!$A$2:$F$61, 3, FALSE)</f>
        <v>Electronics</v>
      </c>
      <c r="M1156" t="str">
        <f>VLOOKUP(E1152, Sales_Reps!$A$2:$E$31, 3, FALSE)</f>
        <v>North</v>
      </c>
      <c r="N1156">
        <f>VLOOKUP(D1156, Products!$A$2:$F$61, 4, FALSE)</f>
        <v>1149</v>
      </c>
    </row>
    <row r="1157" spans="1:14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 t="str">
        <f>VLOOKUP(D1157, Products!$A$2:$F$61, 3, FALSE)</f>
        <v>Beauty</v>
      </c>
      <c r="M1157" t="str">
        <f>VLOOKUP(E1153, Sales_Reps!$A$2:$E$31, 3, FALSE)</f>
        <v>North</v>
      </c>
      <c r="N1157">
        <f>VLOOKUP(D1157, Products!$A$2:$F$61, 4, FALSE)</f>
        <v>2237</v>
      </c>
    </row>
    <row r="1158" spans="1:14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 t="str">
        <f>VLOOKUP(D1158, Products!$A$2:$F$61, 3, FALSE)</f>
        <v>Beauty</v>
      </c>
      <c r="M1158" t="str">
        <f>VLOOKUP(E1154, Sales_Reps!$A$2:$E$31, 3, FALSE)</f>
        <v>South</v>
      </c>
      <c r="N1158">
        <f>VLOOKUP(D1158, Products!$A$2:$F$61, 4, FALSE)</f>
        <v>2617</v>
      </c>
    </row>
    <row r="1159" spans="1:14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 t="str">
        <f>VLOOKUP(D1159, Products!$A$2:$F$61, 3, FALSE)</f>
        <v>Electronics</v>
      </c>
      <c r="M1159" t="str">
        <f>VLOOKUP(E1155, Sales_Reps!$A$2:$E$31, 3, FALSE)</f>
        <v>West</v>
      </c>
      <c r="N1159">
        <f>VLOOKUP(D1159, Products!$A$2:$F$61, 4, FALSE)</f>
        <v>128</v>
      </c>
    </row>
    <row r="1160" spans="1:14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 t="str">
        <f>VLOOKUP(D1160, Products!$A$2:$F$61, 3, FALSE)</f>
        <v>Beauty</v>
      </c>
      <c r="M1160" t="str">
        <f>VLOOKUP(E1156, Sales_Reps!$A$2:$E$31, 3, FALSE)</f>
        <v>East</v>
      </c>
      <c r="N1160">
        <f>VLOOKUP(D1160, Products!$A$2:$F$61, 4, FALSE)</f>
        <v>1626</v>
      </c>
    </row>
    <row r="1161" spans="1:14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 t="str">
        <f>VLOOKUP(D1161, Products!$A$2:$F$61, 3, FALSE)</f>
        <v>Electronics</v>
      </c>
      <c r="M1161" t="str">
        <f>VLOOKUP(E1157, Sales_Reps!$A$2:$E$31, 3, FALSE)</f>
        <v>South</v>
      </c>
      <c r="N1161">
        <f>VLOOKUP(D1161, Products!$A$2:$F$61, 4, FALSE)</f>
        <v>128</v>
      </c>
    </row>
    <row r="1162" spans="1:14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 t="str">
        <f>VLOOKUP(D1162, Products!$A$2:$F$61, 3, FALSE)</f>
        <v>Beauty</v>
      </c>
      <c r="M1162" t="str">
        <f>VLOOKUP(E1158, Sales_Reps!$A$2:$E$31, 3, FALSE)</f>
        <v>North</v>
      </c>
      <c r="N1162">
        <f>VLOOKUP(D1162, Products!$A$2:$F$61, 4, FALSE)</f>
        <v>1728</v>
      </c>
    </row>
    <row r="1163" spans="1:14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 t="str">
        <f>VLOOKUP(D1163, Products!$A$2:$F$61, 3, FALSE)</f>
        <v>Grocery</v>
      </c>
      <c r="M1163" t="str">
        <f>VLOOKUP(E1159, Sales_Reps!$A$2:$E$31, 3, FALSE)</f>
        <v>West</v>
      </c>
      <c r="N1163">
        <f>VLOOKUP(D1163, Products!$A$2:$F$61, 4, FALSE)</f>
        <v>2027</v>
      </c>
    </row>
    <row r="1164" spans="1:14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 t="str">
        <f>VLOOKUP(D1164, Products!$A$2:$F$61, 3, FALSE)</f>
        <v>Sports</v>
      </c>
      <c r="M1164" t="str">
        <f>VLOOKUP(E1160, Sales_Reps!$A$2:$E$31, 3, FALSE)</f>
        <v>East</v>
      </c>
      <c r="N1164">
        <f>VLOOKUP(D1164, Products!$A$2:$F$61, 4, FALSE)</f>
        <v>1860</v>
      </c>
    </row>
    <row r="1165" spans="1:14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 t="str">
        <f>VLOOKUP(D1165, Products!$A$2:$F$61, 3, FALSE)</f>
        <v>Home</v>
      </c>
      <c r="M1165" t="str">
        <f>VLOOKUP(E1161, Sales_Reps!$A$2:$E$31, 3, FALSE)</f>
        <v>East</v>
      </c>
      <c r="N1165">
        <f>VLOOKUP(D1165, Products!$A$2:$F$61, 4, FALSE)</f>
        <v>519</v>
      </c>
    </row>
    <row r="1166" spans="1:14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 t="str">
        <f>VLOOKUP(D1166, Products!$A$2:$F$61, 3, FALSE)</f>
        <v>Electronics</v>
      </c>
      <c r="M1166" t="str">
        <f>VLOOKUP(E1162, Sales_Reps!$A$2:$E$31, 3, FALSE)</f>
        <v>South</v>
      </c>
      <c r="N1166">
        <f>VLOOKUP(D1166, Products!$A$2:$F$61, 4, FALSE)</f>
        <v>1052</v>
      </c>
    </row>
    <row r="1167" spans="1:14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 t="str">
        <f>VLOOKUP(D1167, Products!$A$2:$F$61, 3, FALSE)</f>
        <v>Apparel</v>
      </c>
      <c r="M1167" t="str">
        <f>VLOOKUP(E1163, Sales_Reps!$A$2:$E$31, 3, FALSE)</f>
        <v>West</v>
      </c>
      <c r="N1167">
        <f>VLOOKUP(D1167, Products!$A$2:$F$61, 4, FALSE)</f>
        <v>1962</v>
      </c>
    </row>
    <row r="1168" spans="1:14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 t="str">
        <f>VLOOKUP(D1168, Products!$A$2:$F$61, 3, FALSE)</f>
        <v>Grocery</v>
      </c>
      <c r="M1168" t="str">
        <f>VLOOKUP(E1164, Sales_Reps!$A$2:$E$31, 3, FALSE)</f>
        <v>West</v>
      </c>
      <c r="N1168">
        <f>VLOOKUP(D1168, Products!$A$2:$F$61, 4, FALSE)</f>
        <v>2214</v>
      </c>
    </row>
    <row r="1169" spans="1:14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 t="str">
        <f>VLOOKUP(D1169, Products!$A$2:$F$61, 3, FALSE)</f>
        <v>Beauty</v>
      </c>
      <c r="M1169" t="str">
        <f>VLOOKUP(E1165, Sales_Reps!$A$2:$E$31, 3, FALSE)</f>
        <v>West</v>
      </c>
      <c r="N1169">
        <f>VLOOKUP(D1169, Products!$A$2:$F$61, 4, FALSE)</f>
        <v>1222</v>
      </c>
    </row>
    <row r="1170" spans="1:14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 t="str">
        <f>VLOOKUP(D1170, Products!$A$2:$F$61, 3, FALSE)</f>
        <v>Sports</v>
      </c>
      <c r="M1170" t="str">
        <f>VLOOKUP(E1166, Sales_Reps!$A$2:$E$31, 3, FALSE)</f>
        <v>East</v>
      </c>
      <c r="N1170">
        <f>VLOOKUP(D1170, Products!$A$2:$F$61, 4, FALSE)</f>
        <v>2028</v>
      </c>
    </row>
    <row r="1171" spans="1:14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 t="str">
        <f>VLOOKUP(D1171, Products!$A$2:$F$61, 3, FALSE)</f>
        <v>Sports</v>
      </c>
      <c r="M1171" t="str">
        <f>VLOOKUP(E1167, Sales_Reps!$A$2:$E$31, 3, FALSE)</f>
        <v>North</v>
      </c>
      <c r="N1171">
        <f>VLOOKUP(D1171, Products!$A$2:$F$61, 4, FALSE)</f>
        <v>2467</v>
      </c>
    </row>
    <row r="1172" spans="1:14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 t="str">
        <f>VLOOKUP(D1172, Products!$A$2:$F$61, 3, FALSE)</f>
        <v>Home</v>
      </c>
      <c r="M1172" t="str">
        <f>VLOOKUP(E1168, Sales_Reps!$A$2:$E$31, 3, FALSE)</f>
        <v>South</v>
      </c>
      <c r="N1172">
        <f>VLOOKUP(D1172, Products!$A$2:$F$61, 4, FALSE)</f>
        <v>1143</v>
      </c>
    </row>
    <row r="1173" spans="1:14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 t="str">
        <f>VLOOKUP(D1173, Products!$A$2:$F$61, 3, FALSE)</f>
        <v>Grocery</v>
      </c>
      <c r="M1173" t="str">
        <f>VLOOKUP(E1169, Sales_Reps!$A$2:$E$31, 3, FALSE)</f>
        <v>North</v>
      </c>
      <c r="N1173">
        <f>VLOOKUP(D1173, Products!$A$2:$F$61, 4, FALSE)</f>
        <v>1412</v>
      </c>
    </row>
    <row r="1174" spans="1:14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 t="str">
        <f>VLOOKUP(D1174, Products!$A$2:$F$61, 3, FALSE)</f>
        <v>Home</v>
      </c>
      <c r="M1174" t="str">
        <f>VLOOKUP(E1170, Sales_Reps!$A$2:$E$31, 3, FALSE)</f>
        <v>East</v>
      </c>
      <c r="N1174">
        <f>VLOOKUP(D1174, Products!$A$2:$F$61, 4, FALSE)</f>
        <v>2459</v>
      </c>
    </row>
    <row r="1175" spans="1:14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 t="str">
        <f>VLOOKUP(D1175, Products!$A$2:$F$61, 3, FALSE)</f>
        <v>Grocery</v>
      </c>
      <c r="M1175" t="str">
        <f>VLOOKUP(E1171, Sales_Reps!$A$2:$E$31, 3, FALSE)</f>
        <v>West</v>
      </c>
      <c r="N1175">
        <f>VLOOKUP(D1175, Products!$A$2:$F$61, 4, FALSE)</f>
        <v>2027</v>
      </c>
    </row>
    <row r="1176" spans="1:14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 t="str">
        <f>VLOOKUP(D1176, Products!$A$2:$F$61, 3, FALSE)</f>
        <v>Beauty</v>
      </c>
      <c r="M1176" t="str">
        <f>VLOOKUP(E1172, Sales_Reps!$A$2:$E$31, 3, FALSE)</f>
        <v>North</v>
      </c>
      <c r="N1176">
        <f>VLOOKUP(D1176, Products!$A$2:$F$61, 4, FALSE)</f>
        <v>647</v>
      </c>
    </row>
    <row r="1177" spans="1:14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 t="str">
        <f>VLOOKUP(D1177, Products!$A$2:$F$61, 3, FALSE)</f>
        <v>Beauty</v>
      </c>
      <c r="M1177" t="str">
        <f>VLOOKUP(E1173, Sales_Reps!$A$2:$E$31, 3, FALSE)</f>
        <v>South</v>
      </c>
      <c r="N1177">
        <f>VLOOKUP(D1177, Products!$A$2:$F$61, 4, FALSE)</f>
        <v>2237</v>
      </c>
    </row>
    <row r="1178" spans="1:14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 t="str">
        <f>VLOOKUP(D1178, Products!$A$2:$F$61, 3, FALSE)</f>
        <v>Apparel</v>
      </c>
      <c r="M1178" t="str">
        <f>VLOOKUP(E1174, Sales_Reps!$A$2:$E$31, 3, FALSE)</f>
        <v>South</v>
      </c>
      <c r="N1178">
        <f>VLOOKUP(D1178, Products!$A$2:$F$61, 4, FALSE)</f>
        <v>2509</v>
      </c>
    </row>
    <row r="1179" spans="1:14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 t="str">
        <f>VLOOKUP(D1179, Products!$A$2:$F$61, 3, FALSE)</f>
        <v>Beauty</v>
      </c>
      <c r="M1179" t="str">
        <f>VLOOKUP(E1175, Sales_Reps!$A$2:$E$31, 3, FALSE)</f>
        <v>West</v>
      </c>
      <c r="N1179">
        <f>VLOOKUP(D1179, Products!$A$2:$F$61, 4, FALSE)</f>
        <v>2768</v>
      </c>
    </row>
    <row r="1180" spans="1:14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 t="str">
        <f>VLOOKUP(D1180, Products!$A$2:$F$61, 3, FALSE)</f>
        <v>Electronics</v>
      </c>
      <c r="M1180" t="str">
        <f>VLOOKUP(E1176, Sales_Reps!$A$2:$E$31, 3, FALSE)</f>
        <v>North</v>
      </c>
      <c r="N1180">
        <f>VLOOKUP(D1180, Products!$A$2:$F$61, 4, FALSE)</f>
        <v>1149</v>
      </c>
    </row>
    <row r="1181" spans="1:14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 t="str">
        <f>VLOOKUP(D1181, Products!$A$2:$F$61, 3, FALSE)</f>
        <v>Grocery</v>
      </c>
      <c r="M1181" t="str">
        <f>VLOOKUP(E1177, Sales_Reps!$A$2:$E$31, 3, FALSE)</f>
        <v>West</v>
      </c>
      <c r="N1181">
        <f>VLOOKUP(D1181, Products!$A$2:$F$61, 4, FALSE)</f>
        <v>2027</v>
      </c>
    </row>
    <row r="1182" spans="1:14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 t="str">
        <f>VLOOKUP(D1182, Products!$A$2:$F$61, 3, FALSE)</f>
        <v>Electronics</v>
      </c>
      <c r="M1182" t="str">
        <f>VLOOKUP(E1178, Sales_Reps!$A$2:$E$31, 3, FALSE)</f>
        <v>North</v>
      </c>
      <c r="N1182">
        <f>VLOOKUP(D1182, Products!$A$2:$F$61, 4, FALSE)</f>
        <v>1665</v>
      </c>
    </row>
    <row r="1183" spans="1:14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 t="str">
        <f>VLOOKUP(D1183, Products!$A$2:$F$61, 3, FALSE)</f>
        <v>Beauty</v>
      </c>
      <c r="M1183" t="str">
        <f>VLOOKUP(E1179, Sales_Reps!$A$2:$E$31, 3, FALSE)</f>
        <v>North</v>
      </c>
      <c r="N1183">
        <f>VLOOKUP(D1183, Products!$A$2:$F$61, 4, FALSE)</f>
        <v>1728</v>
      </c>
    </row>
    <row r="1184" spans="1:14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 t="str">
        <f>VLOOKUP(D1184, Products!$A$2:$F$61, 3, FALSE)</f>
        <v>Sports</v>
      </c>
      <c r="M1184" t="str">
        <f>VLOOKUP(E1180, Sales_Reps!$A$2:$E$31, 3, FALSE)</f>
        <v>West</v>
      </c>
      <c r="N1184">
        <f>VLOOKUP(D1184, Products!$A$2:$F$61, 4, FALSE)</f>
        <v>1860</v>
      </c>
    </row>
    <row r="1185" spans="1:14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 t="str">
        <f>VLOOKUP(D1185, Products!$A$2:$F$61, 3, FALSE)</f>
        <v>Electronics</v>
      </c>
      <c r="M1185" t="str">
        <f>VLOOKUP(E1181, Sales_Reps!$A$2:$E$31, 3, FALSE)</f>
        <v>East</v>
      </c>
      <c r="N1185">
        <f>VLOOKUP(D1185, Products!$A$2:$F$61, 4, FALSE)</f>
        <v>1665</v>
      </c>
    </row>
    <row r="1186" spans="1:14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 t="str">
        <f>VLOOKUP(D1186, Products!$A$2:$F$61, 3, FALSE)</f>
        <v>Sports</v>
      </c>
      <c r="M1186" t="str">
        <f>VLOOKUP(E1182, Sales_Reps!$A$2:$E$31, 3, FALSE)</f>
        <v>West</v>
      </c>
      <c r="N1186">
        <f>VLOOKUP(D1186, Products!$A$2:$F$61, 4, FALSE)</f>
        <v>2028</v>
      </c>
    </row>
    <row r="1187" spans="1:14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 t="str">
        <f>VLOOKUP(D1187, Products!$A$2:$F$61, 3, FALSE)</f>
        <v>Apparel</v>
      </c>
      <c r="M1187" t="str">
        <f>VLOOKUP(E1183, Sales_Reps!$A$2:$E$31, 3, FALSE)</f>
        <v>North</v>
      </c>
      <c r="N1187">
        <f>VLOOKUP(D1187, Products!$A$2:$F$61, 4, FALSE)</f>
        <v>396</v>
      </c>
    </row>
    <row r="1188" spans="1:14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 t="str">
        <f>VLOOKUP(D1188, Products!$A$2:$F$61, 3, FALSE)</f>
        <v>Electronics</v>
      </c>
      <c r="M1188" t="str">
        <f>VLOOKUP(E1184, Sales_Reps!$A$2:$E$31, 3, FALSE)</f>
        <v>West</v>
      </c>
      <c r="N1188">
        <f>VLOOKUP(D1188, Products!$A$2:$F$61, 4, FALSE)</f>
        <v>1665</v>
      </c>
    </row>
    <row r="1189" spans="1:14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 t="str">
        <f>VLOOKUP(D1189, Products!$A$2:$F$61, 3, FALSE)</f>
        <v>Electronics</v>
      </c>
      <c r="M1189" t="str">
        <f>VLOOKUP(E1185, Sales_Reps!$A$2:$E$31, 3, FALSE)</f>
        <v>North</v>
      </c>
      <c r="N1189">
        <f>VLOOKUP(D1189, Products!$A$2:$F$61, 4, FALSE)</f>
        <v>2405</v>
      </c>
    </row>
    <row r="1190" spans="1:14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 t="str">
        <f>VLOOKUP(D1190, Products!$A$2:$F$61, 3, FALSE)</f>
        <v>Sports</v>
      </c>
      <c r="M1190" t="str">
        <f>VLOOKUP(E1186, Sales_Reps!$A$2:$E$31, 3, FALSE)</f>
        <v>West</v>
      </c>
      <c r="N1190">
        <f>VLOOKUP(D1190, Products!$A$2:$F$61, 4, FALSE)</f>
        <v>2265</v>
      </c>
    </row>
    <row r="1191" spans="1:14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 t="str">
        <f>VLOOKUP(D1191, Products!$A$2:$F$61, 3, FALSE)</f>
        <v>Home</v>
      </c>
      <c r="M1191" t="str">
        <f>VLOOKUP(E1187, Sales_Reps!$A$2:$E$31, 3, FALSE)</f>
        <v>North</v>
      </c>
      <c r="N1191">
        <f>VLOOKUP(D1191, Products!$A$2:$F$61, 4, FALSE)</f>
        <v>2459</v>
      </c>
    </row>
    <row r="1192" spans="1:14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 t="str">
        <f>VLOOKUP(D1192, Products!$A$2:$F$61, 3, FALSE)</f>
        <v>Electronics</v>
      </c>
      <c r="M1192" t="str">
        <f>VLOOKUP(E1188, Sales_Reps!$A$2:$E$31, 3, FALSE)</f>
        <v>South</v>
      </c>
      <c r="N1192">
        <f>VLOOKUP(D1192, Products!$A$2:$F$61, 4, FALSE)</f>
        <v>1665</v>
      </c>
    </row>
    <row r="1193" spans="1:14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 t="str">
        <f>VLOOKUP(D1193, Products!$A$2:$F$61, 3, FALSE)</f>
        <v>Grocery</v>
      </c>
      <c r="M1193" t="str">
        <f>VLOOKUP(E1189, Sales_Reps!$A$2:$E$31, 3, FALSE)</f>
        <v>South</v>
      </c>
      <c r="N1193">
        <f>VLOOKUP(D1193, Products!$A$2:$F$61, 4, FALSE)</f>
        <v>434</v>
      </c>
    </row>
    <row r="1194" spans="1:14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 t="str">
        <f>VLOOKUP(D1194, Products!$A$2:$F$61, 3, FALSE)</f>
        <v>Electronics</v>
      </c>
      <c r="M1194" t="str">
        <f>VLOOKUP(E1190, Sales_Reps!$A$2:$E$31, 3, FALSE)</f>
        <v>East</v>
      </c>
      <c r="N1194">
        <f>VLOOKUP(D1194, Products!$A$2:$F$61, 4, FALSE)</f>
        <v>128</v>
      </c>
    </row>
    <row r="1195" spans="1:14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 t="str">
        <f>VLOOKUP(D1195, Products!$A$2:$F$61, 3, FALSE)</f>
        <v>Beauty</v>
      </c>
      <c r="M1195" t="str">
        <f>VLOOKUP(E1191, Sales_Reps!$A$2:$E$31, 3, FALSE)</f>
        <v>South</v>
      </c>
      <c r="N1195">
        <f>VLOOKUP(D1195, Products!$A$2:$F$61, 4, FALSE)</f>
        <v>2617</v>
      </c>
    </row>
    <row r="1196" spans="1:14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 t="str">
        <f>VLOOKUP(D1196, Products!$A$2:$F$61, 3, FALSE)</f>
        <v>Beauty</v>
      </c>
      <c r="M1196" t="str">
        <f>VLOOKUP(E1192, Sales_Reps!$A$2:$E$31, 3, FALSE)</f>
        <v>North</v>
      </c>
      <c r="N1196">
        <f>VLOOKUP(D1196, Products!$A$2:$F$61, 4, FALSE)</f>
        <v>2237</v>
      </c>
    </row>
    <row r="1197" spans="1:14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 t="str">
        <f>VLOOKUP(D1197, Products!$A$2:$F$61, 3, FALSE)</f>
        <v>Apparel</v>
      </c>
      <c r="M1197" t="str">
        <f>VLOOKUP(E1193, Sales_Reps!$A$2:$E$31, 3, FALSE)</f>
        <v>East</v>
      </c>
      <c r="N1197">
        <f>VLOOKUP(D1197, Products!$A$2:$F$61, 4, FALSE)</f>
        <v>1748</v>
      </c>
    </row>
    <row r="1198" spans="1:14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 t="str">
        <f>VLOOKUP(D1198, Products!$A$2:$F$61, 3, FALSE)</f>
        <v>Apparel</v>
      </c>
      <c r="M1198" t="str">
        <f>VLOOKUP(E1194, Sales_Reps!$A$2:$E$31, 3, FALSE)</f>
        <v>South</v>
      </c>
      <c r="N1198">
        <f>VLOOKUP(D1198, Products!$A$2:$F$61, 4, FALSE)</f>
        <v>1173</v>
      </c>
    </row>
    <row r="1199" spans="1:14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 t="str">
        <f>VLOOKUP(D1199, Products!$A$2:$F$61, 3, FALSE)</f>
        <v>Sports</v>
      </c>
      <c r="M1199" t="str">
        <f>VLOOKUP(E1195, Sales_Reps!$A$2:$E$31, 3, FALSE)</f>
        <v>North</v>
      </c>
      <c r="N1199">
        <f>VLOOKUP(D1199, Products!$A$2:$F$61, 4, FALSE)</f>
        <v>147</v>
      </c>
    </row>
    <row r="1200" spans="1:14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 t="str">
        <f>VLOOKUP(D1200, Products!$A$2:$F$61, 3, FALSE)</f>
        <v>Grocery</v>
      </c>
      <c r="M1200" t="str">
        <f>VLOOKUP(E1196, Sales_Reps!$A$2:$E$31, 3, FALSE)</f>
        <v>South</v>
      </c>
      <c r="N1200">
        <f>VLOOKUP(D1200, Products!$A$2:$F$61, 4, FALSE)</f>
        <v>1412</v>
      </c>
    </row>
    <row r="1201" spans="1:14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 t="str">
        <f>VLOOKUP(D1201, Products!$A$2:$F$61, 3, FALSE)</f>
        <v>Apparel</v>
      </c>
      <c r="M1201" t="str">
        <f>VLOOKUP(E1197, Sales_Reps!$A$2:$E$31, 3, FALSE)</f>
        <v>East</v>
      </c>
      <c r="N1201">
        <f>VLOOKUP(D1201, Products!$A$2:$F$61, 4, FALSE)</f>
        <v>1075</v>
      </c>
    </row>
    <row r="1202" spans="1:14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 t="str">
        <f>VLOOKUP(D1202, Products!$A$2:$F$61, 3, FALSE)</f>
        <v>Sports</v>
      </c>
      <c r="M1202" t="str">
        <f>VLOOKUP(E1198, Sales_Reps!$A$2:$E$31, 3, FALSE)</f>
        <v>South</v>
      </c>
      <c r="N1202">
        <f>VLOOKUP(D1202, Products!$A$2:$F$61, 4, FALSE)</f>
        <v>1860</v>
      </c>
    </row>
    <row r="1203" spans="1:14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 t="str">
        <f>VLOOKUP(D1203, Products!$A$2:$F$61, 3, FALSE)</f>
        <v>Electronics</v>
      </c>
      <c r="M1203" t="str">
        <f>VLOOKUP(E1199, Sales_Reps!$A$2:$E$31, 3, FALSE)</f>
        <v>South</v>
      </c>
      <c r="N1203">
        <f>VLOOKUP(D1203, Products!$A$2:$F$61, 4, FALSE)</f>
        <v>1665</v>
      </c>
    </row>
    <row r="1204" spans="1:14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 t="str">
        <f>VLOOKUP(D1204, Products!$A$2:$F$61, 3, FALSE)</f>
        <v>Home</v>
      </c>
      <c r="M1204" t="str">
        <f>VLOOKUP(E1200, Sales_Reps!$A$2:$E$31, 3, FALSE)</f>
        <v>East</v>
      </c>
      <c r="N1204">
        <f>VLOOKUP(D1204, Products!$A$2:$F$61, 4, FALSE)</f>
        <v>329</v>
      </c>
    </row>
    <row r="1205" spans="1:14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 t="str">
        <f>VLOOKUP(D1205, Products!$A$2:$F$61, 3, FALSE)</f>
        <v>Grocery</v>
      </c>
      <c r="M1205" t="str">
        <f>VLOOKUP(E1201, Sales_Reps!$A$2:$E$31, 3, FALSE)</f>
        <v>West</v>
      </c>
      <c r="N1205">
        <f>VLOOKUP(D1205, Products!$A$2:$F$61, 4, FALSE)</f>
        <v>434</v>
      </c>
    </row>
    <row r="1206" spans="1:14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 t="str">
        <f>VLOOKUP(D1206, Products!$A$2:$F$61, 3, FALSE)</f>
        <v>Grocery</v>
      </c>
      <c r="M1206" t="str">
        <f>VLOOKUP(E1202, Sales_Reps!$A$2:$E$31, 3, FALSE)</f>
        <v>North</v>
      </c>
      <c r="N1206">
        <f>VLOOKUP(D1206, Products!$A$2:$F$61, 4, FALSE)</f>
        <v>1203</v>
      </c>
    </row>
    <row r="1207" spans="1:14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 t="str">
        <f>VLOOKUP(D1207, Products!$A$2:$F$61, 3, FALSE)</f>
        <v>Sports</v>
      </c>
      <c r="M1207" t="str">
        <f>VLOOKUP(E1203, Sales_Reps!$A$2:$E$31, 3, FALSE)</f>
        <v>South</v>
      </c>
      <c r="N1207">
        <f>VLOOKUP(D1207, Products!$A$2:$F$61, 4, FALSE)</f>
        <v>974</v>
      </c>
    </row>
    <row r="1208" spans="1:14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 t="str">
        <f>VLOOKUP(D1208, Products!$A$2:$F$61, 3, FALSE)</f>
        <v>Home</v>
      </c>
      <c r="M1208" t="str">
        <f>VLOOKUP(E1204, Sales_Reps!$A$2:$E$31, 3, FALSE)</f>
        <v>South</v>
      </c>
      <c r="N1208">
        <f>VLOOKUP(D1208, Products!$A$2:$F$61, 4, FALSE)</f>
        <v>2459</v>
      </c>
    </row>
    <row r="1209" spans="1:14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 t="str">
        <f>VLOOKUP(D1209, Products!$A$2:$F$61, 3, FALSE)</f>
        <v>Beauty</v>
      </c>
      <c r="M1209" t="str">
        <f>VLOOKUP(E1205, Sales_Reps!$A$2:$E$31, 3, FALSE)</f>
        <v>South</v>
      </c>
      <c r="N1209">
        <f>VLOOKUP(D1209, Products!$A$2:$F$61, 4, FALSE)</f>
        <v>1728</v>
      </c>
    </row>
    <row r="1210" spans="1:14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 t="str">
        <f>VLOOKUP(D1210, Products!$A$2:$F$61, 3, FALSE)</f>
        <v>Beauty</v>
      </c>
      <c r="M1210" t="str">
        <f>VLOOKUP(E1206, Sales_Reps!$A$2:$E$31, 3, FALSE)</f>
        <v>North</v>
      </c>
      <c r="N1210">
        <f>VLOOKUP(D1210, Products!$A$2:$F$61, 4, FALSE)</f>
        <v>647</v>
      </c>
    </row>
    <row r="1211" spans="1:14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 t="str">
        <f>VLOOKUP(D1211, Products!$A$2:$F$61, 3, FALSE)</f>
        <v>Home</v>
      </c>
      <c r="M1211" t="str">
        <f>VLOOKUP(E1207, Sales_Reps!$A$2:$E$31, 3, FALSE)</f>
        <v>South</v>
      </c>
      <c r="N1211">
        <f>VLOOKUP(D1211, Products!$A$2:$F$61, 4, FALSE)</f>
        <v>2459</v>
      </c>
    </row>
    <row r="1212" spans="1:14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 t="str">
        <f>VLOOKUP(D1212, Products!$A$2:$F$61, 3, FALSE)</f>
        <v>Apparel</v>
      </c>
      <c r="M1212" t="str">
        <f>VLOOKUP(E1208, Sales_Reps!$A$2:$E$31, 3, FALSE)</f>
        <v>South</v>
      </c>
      <c r="N1212">
        <f>VLOOKUP(D1212, Products!$A$2:$F$61, 4, FALSE)</f>
        <v>2629</v>
      </c>
    </row>
    <row r="1213" spans="1:14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 t="str">
        <f>VLOOKUP(D1213, Products!$A$2:$F$61, 3, FALSE)</f>
        <v>Home</v>
      </c>
      <c r="M1213" t="str">
        <f>VLOOKUP(E1209, Sales_Reps!$A$2:$E$31, 3, FALSE)</f>
        <v>South</v>
      </c>
      <c r="N1213">
        <f>VLOOKUP(D1213, Products!$A$2:$F$61, 4, FALSE)</f>
        <v>519</v>
      </c>
    </row>
    <row r="1214" spans="1:14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 t="str">
        <f>VLOOKUP(D1214, Products!$A$2:$F$61, 3, FALSE)</f>
        <v>Grocery</v>
      </c>
      <c r="M1214" t="str">
        <f>VLOOKUP(E1210, Sales_Reps!$A$2:$E$31, 3, FALSE)</f>
        <v>North</v>
      </c>
      <c r="N1214">
        <f>VLOOKUP(D1214, Products!$A$2:$F$61, 4, FALSE)</f>
        <v>1182</v>
      </c>
    </row>
    <row r="1215" spans="1:14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 t="str">
        <f>VLOOKUP(D1215, Products!$A$2:$F$61, 3, FALSE)</f>
        <v>Apparel</v>
      </c>
      <c r="M1215" t="str">
        <f>VLOOKUP(E1211, Sales_Reps!$A$2:$E$31, 3, FALSE)</f>
        <v>North</v>
      </c>
      <c r="N1215">
        <f>VLOOKUP(D1215, Products!$A$2:$F$61, 4, FALSE)</f>
        <v>1173</v>
      </c>
    </row>
    <row r="1216" spans="1:14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 t="str">
        <f>VLOOKUP(D1216, Products!$A$2:$F$61, 3, FALSE)</f>
        <v>Beauty</v>
      </c>
      <c r="M1216" t="str">
        <f>VLOOKUP(E1212, Sales_Reps!$A$2:$E$31, 3, FALSE)</f>
        <v>South</v>
      </c>
      <c r="N1216">
        <f>VLOOKUP(D1216, Products!$A$2:$F$61, 4, FALSE)</f>
        <v>1219</v>
      </c>
    </row>
    <row r="1217" spans="1:14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 t="str">
        <f>VLOOKUP(D1217, Products!$A$2:$F$61, 3, FALSE)</f>
        <v>Apparel</v>
      </c>
      <c r="M1217" t="str">
        <f>VLOOKUP(E1213, Sales_Reps!$A$2:$E$31, 3, FALSE)</f>
        <v>South</v>
      </c>
      <c r="N1217">
        <f>VLOOKUP(D1217, Products!$A$2:$F$61, 4, FALSE)</f>
        <v>1748</v>
      </c>
    </row>
    <row r="1218" spans="1:14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 t="str">
        <f>VLOOKUP(D1218, Products!$A$2:$F$61, 3, FALSE)</f>
        <v>Beauty</v>
      </c>
      <c r="M1218" t="str">
        <f>VLOOKUP(E1214, Sales_Reps!$A$2:$E$31, 3, FALSE)</f>
        <v>East</v>
      </c>
      <c r="N1218">
        <f>VLOOKUP(D1218, Products!$A$2:$F$61, 4, FALSE)</f>
        <v>2420</v>
      </c>
    </row>
    <row r="1219" spans="1:14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 t="str">
        <f>VLOOKUP(D1219, Products!$A$2:$F$61, 3, FALSE)</f>
        <v>Electronics</v>
      </c>
      <c r="M1219" t="str">
        <f>VLOOKUP(E1215, Sales_Reps!$A$2:$E$31, 3, FALSE)</f>
        <v>West</v>
      </c>
      <c r="N1219">
        <f>VLOOKUP(D1219, Products!$A$2:$F$61, 4, FALSE)</f>
        <v>1052</v>
      </c>
    </row>
    <row r="1220" spans="1:14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 t="str">
        <f>VLOOKUP(D1220, Products!$A$2:$F$61, 3, FALSE)</f>
        <v>Grocery</v>
      </c>
      <c r="M1220" t="str">
        <f>VLOOKUP(E1216, Sales_Reps!$A$2:$E$31, 3, FALSE)</f>
        <v>South</v>
      </c>
      <c r="N1220">
        <f>VLOOKUP(D1220, Products!$A$2:$F$61, 4, FALSE)</f>
        <v>1435</v>
      </c>
    </row>
    <row r="1221" spans="1:14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 t="str">
        <f>VLOOKUP(D1221, Products!$A$2:$F$61, 3, FALSE)</f>
        <v>Home</v>
      </c>
      <c r="M1221" t="str">
        <f>VLOOKUP(E1217, Sales_Reps!$A$2:$E$31, 3, FALSE)</f>
        <v>South</v>
      </c>
      <c r="N1221">
        <f>VLOOKUP(D1221, Products!$A$2:$F$61, 4, FALSE)</f>
        <v>1850</v>
      </c>
    </row>
    <row r="1222" spans="1:14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 t="str">
        <f>VLOOKUP(D1222, Products!$A$2:$F$61, 3, FALSE)</f>
        <v>Apparel</v>
      </c>
      <c r="M1222" t="str">
        <f>VLOOKUP(E1218, Sales_Reps!$A$2:$E$31, 3, FALSE)</f>
        <v>West</v>
      </c>
      <c r="N1222">
        <f>VLOOKUP(D1222, Products!$A$2:$F$61, 4, FALSE)</f>
        <v>1173</v>
      </c>
    </row>
    <row r="1223" spans="1:14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 t="str">
        <f>VLOOKUP(D1223, Products!$A$2:$F$61, 3, FALSE)</f>
        <v>Sports</v>
      </c>
      <c r="M1223" t="str">
        <f>VLOOKUP(E1219, Sales_Reps!$A$2:$E$31, 3, FALSE)</f>
        <v>West</v>
      </c>
      <c r="N1223">
        <f>VLOOKUP(D1223, Products!$A$2:$F$61, 4, FALSE)</f>
        <v>2827</v>
      </c>
    </row>
    <row r="1224" spans="1:14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 t="str">
        <f>VLOOKUP(D1224, Products!$A$2:$F$61, 3, FALSE)</f>
        <v>Grocery</v>
      </c>
      <c r="M1224" t="str">
        <f>VLOOKUP(E1220, Sales_Reps!$A$2:$E$31, 3, FALSE)</f>
        <v>West</v>
      </c>
      <c r="N1224">
        <f>VLOOKUP(D1224, Products!$A$2:$F$61, 4, FALSE)</f>
        <v>1412</v>
      </c>
    </row>
    <row r="1225" spans="1:14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 t="str">
        <f>VLOOKUP(D1225, Products!$A$2:$F$61, 3, FALSE)</f>
        <v>Beauty</v>
      </c>
      <c r="M1225" t="str">
        <f>VLOOKUP(E1221, Sales_Reps!$A$2:$E$31, 3, FALSE)</f>
        <v>North</v>
      </c>
      <c r="N1225">
        <f>VLOOKUP(D1225, Products!$A$2:$F$61, 4, FALSE)</f>
        <v>2237</v>
      </c>
    </row>
    <row r="1226" spans="1:14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 t="str">
        <f>VLOOKUP(D1226, Products!$A$2:$F$61, 3, FALSE)</f>
        <v>Home</v>
      </c>
      <c r="M1226" t="str">
        <f>VLOOKUP(E1222, Sales_Reps!$A$2:$E$31, 3, FALSE)</f>
        <v>West</v>
      </c>
      <c r="N1226">
        <f>VLOOKUP(D1226, Products!$A$2:$F$61, 4, FALSE)</f>
        <v>1556</v>
      </c>
    </row>
    <row r="1227" spans="1:14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 t="str">
        <f>VLOOKUP(D1227, Products!$A$2:$F$61, 3, FALSE)</f>
        <v>Electronics</v>
      </c>
      <c r="M1227" t="str">
        <f>VLOOKUP(E1223, Sales_Reps!$A$2:$E$31, 3, FALSE)</f>
        <v>South</v>
      </c>
      <c r="N1227">
        <f>VLOOKUP(D1227, Products!$A$2:$F$61, 4, FALSE)</f>
        <v>2865</v>
      </c>
    </row>
    <row r="1228" spans="1:14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 t="str">
        <f>VLOOKUP(D1228, Products!$A$2:$F$61, 3, FALSE)</f>
        <v>Electronics</v>
      </c>
      <c r="M1228" t="str">
        <f>VLOOKUP(E1224, Sales_Reps!$A$2:$E$31, 3, FALSE)</f>
        <v>East</v>
      </c>
      <c r="N1228">
        <f>VLOOKUP(D1228, Products!$A$2:$F$61, 4, FALSE)</f>
        <v>2405</v>
      </c>
    </row>
    <row r="1229" spans="1:14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 t="str">
        <f>VLOOKUP(D1229, Products!$A$2:$F$61, 3, FALSE)</f>
        <v>Electronics</v>
      </c>
      <c r="M1229" t="str">
        <f>VLOOKUP(E1225, Sales_Reps!$A$2:$E$31, 3, FALSE)</f>
        <v>West</v>
      </c>
      <c r="N1229">
        <f>VLOOKUP(D1229, Products!$A$2:$F$61, 4, FALSE)</f>
        <v>1259</v>
      </c>
    </row>
    <row r="1230" spans="1:14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 t="str">
        <f>VLOOKUP(D1230, Products!$A$2:$F$61, 3, FALSE)</f>
        <v>Apparel</v>
      </c>
      <c r="M1230" t="str">
        <f>VLOOKUP(E1226, Sales_Reps!$A$2:$E$31, 3, FALSE)</f>
        <v>South</v>
      </c>
      <c r="N1230">
        <f>VLOOKUP(D1230, Products!$A$2:$F$61, 4, FALSE)</f>
        <v>1886</v>
      </c>
    </row>
    <row r="1231" spans="1:14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 t="str">
        <f>VLOOKUP(D1231, Products!$A$2:$F$61, 3, FALSE)</f>
        <v>Sports</v>
      </c>
      <c r="M1231" t="str">
        <f>VLOOKUP(E1227, Sales_Reps!$A$2:$E$31, 3, FALSE)</f>
        <v>North</v>
      </c>
      <c r="N1231">
        <f>VLOOKUP(D1231, Products!$A$2:$F$61, 4, FALSE)</f>
        <v>516</v>
      </c>
    </row>
    <row r="1232" spans="1:14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 t="str">
        <f>VLOOKUP(D1232, Products!$A$2:$F$61, 3, FALSE)</f>
        <v>Beauty</v>
      </c>
      <c r="M1232" t="str">
        <f>VLOOKUP(E1228, Sales_Reps!$A$2:$E$31, 3, FALSE)</f>
        <v>West</v>
      </c>
      <c r="N1232">
        <f>VLOOKUP(D1232, Products!$A$2:$F$61, 4, FALSE)</f>
        <v>647</v>
      </c>
    </row>
    <row r="1233" spans="1:14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 t="str">
        <f>VLOOKUP(D1233, Products!$A$2:$F$61, 3, FALSE)</f>
        <v>Beauty</v>
      </c>
      <c r="M1233" t="str">
        <f>VLOOKUP(E1229, Sales_Reps!$A$2:$E$31, 3, FALSE)</f>
        <v>North</v>
      </c>
      <c r="N1233">
        <f>VLOOKUP(D1233, Products!$A$2:$F$61, 4, FALSE)</f>
        <v>2237</v>
      </c>
    </row>
    <row r="1234" spans="1:14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 t="str">
        <f>VLOOKUP(D1234, Products!$A$2:$F$61, 3, FALSE)</f>
        <v>Electronics</v>
      </c>
      <c r="M1234" t="str">
        <f>VLOOKUP(E1230, Sales_Reps!$A$2:$E$31, 3, FALSE)</f>
        <v>West</v>
      </c>
      <c r="N1234">
        <f>VLOOKUP(D1234, Products!$A$2:$F$61, 4, FALSE)</f>
        <v>861</v>
      </c>
    </row>
    <row r="1235" spans="1:14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 t="str">
        <f>VLOOKUP(D1235, Products!$A$2:$F$61, 3, FALSE)</f>
        <v>Home</v>
      </c>
      <c r="M1235" t="str">
        <f>VLOOKUP(E1231, Sales_Reps!$A$2:$E$31, 3, FALSE)</f>
        <v>East</v>
      </c>
      <c r="N1235">
        <f>VLOOKUP(D1235, Products!$A$2:$F$61, 4, FALSE)</f>
        <v>2549</v>
      </c>
    </row>
    <row r="1236" spans="1:14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 t="str">
        <f>VLOOKUP(D1236, Products!$A$2:$F$61, 3, FALSE)</f>
        <v>Beauty</v>
      </c>
      <c r="M1236" t="str">
        <f>VLOOKUP(E1232, Sales_Reps!$A$2:$E$31, 3, FALSE)</f>
        <v>North</v>
      </c>
      <c r="N1236">
        <f>VLOOKUP(D1236, Products!$A$2:$F$61, 4, FALSE)</f>
        <v>1222</v>
      </c>
    </row>
    <row r="1237" spans="1:14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 t="str">
        <f>VLOOKUP(D1237, Products!$A$2:$F$61, 3, FALSE)</f>
        <v>Beauty</v>
      </c>
      <c r="M1237" t="str">
        <f>VLOOKUP(E1233, Sales_Reps!$A$2:$E$31, 3, FALSE)</f>
        <v>South</v>
      </c>
      <c r="N1237">
        <f>VLOOKUP(D1237, Products!$A$2:$F$61, 4, FALSE)</f>
        <v>1626</v>
      </c>
    </row>
    <row r="1238" spans="1:14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 t="str">
        <f>VLOOKUP(D1238, Products!$A$2:$F$61, 3, FALSE)</f>
        <v>Beauty</v>
      </c>
      <c r="M1238" t="str">
        <f>VLOOKUP(E1234, Sales_Reps!$A$2:$E$31, 3, FALSE)</f>
        <v>West</v>
      </c>
      <c r="N1238">
        <f>VLOOKUP(D1238, Products!$A$2:$F$61, 4, FALSE)</f>
        <v>647</v>
      </c>
    </row>
    <row r="1239" spans="1:14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 t="str">
        <f>VLOOKUP(D1239, Products!$A$2:$F$61, 3, FALSE)</f>
        <v>Sports</v>
      </c>
      <c r="M1239" t="str">
        <f>VLOOKUP(E1235, Sales_Reps!$A$2:$E$31, 3, FALSE)</f>
        <v>South</v>
      </c>
      <c r="N1239">
        <f>VLOOKUP(D1239, Products!$A$2:$F$61, 4, FALSE)</f>
        <v>2827</v>
      </c>
    </row>
    <row r="1240" spans="1:14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 t="str">
        <f>VLOOKUP(D1240, Products!$A$2:$F$61, 3, FALSE)</f>
        <v>Beauty</v>
      </c>
      <c r="M1240" t="str">
        <f>VLOOKUP(E1236, Sales_Reps!$A$2:$E$31, 3, FALSE)</f>
        <v>North</v>
      </c>
      <c r="N1240">
        <f>VLOOKUP(D1240, Products!$A$2:$F$61, 4, FALSE)</f>
        <v>2237</v>
      </c>
    </row>
    <row r="1241" spans="1:14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 t="str">
        <f>VLOOKUP(D1241, Products!$A$2:$F$61, 3, FALSE)</f>
        <v>Electronics</v>
      </c>
      <c r="M1241" t="str">
        <f>VLOOKUP(E1237, Sales_Reps!$A$2:$E$31, 3, FALSE)</f>
        <v>East</v>
      </c>
      <c r="N1241">
        <f>VLOOKUP(D1241, Products!$A$2:$F$61, 4, FALSE)</f>
        <v>2405</v>
      </c>
    </row>
    <row r="1242" spans="1:14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 t="str">
        <f>VLOOKUP(D1242, Products!$A$2:$F$61, 3, FALSE)</f>
        <v>Sports</v>
      </c>
      <c r="M1242" t="str">
        <f>VLOOKUP(E1238, Sales_Reps!$A$2:$E$31, 3, FALSE)</f>
        <v>North</v>
      </c>
      <c r="N1242">
        <f>VLOOKUP(D1242, Products!$A$2:$F$61, 4, FALSE)</f>
        <v>705</v>
      </c>
    </row>
    <row r="1243" spans="1:14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 t="str">
        <f>VLOOKUP(D1243, Products!$A$2:$F$61, 3, FALSE)</f>
        <v>Apparel</v>
      </c>
      <c r="M1243" t="str">
        <f>VLOOKUP(E1239, Sales_Reps!$A$2:$E$31, 3, FALSE)</f>
        <v>East</v>
      </c>
      <c r="N1243">
        <f>VLOOKUP(D1243, Products!$A$2:$F$61, 4, FALSE)</f>
        <v>2509</v>
      </c>
    </row>
    <row r="1244" spans="1:14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 t="str">
        <f>VLOOKUP(D1244, Products!$A$2:$F$61, 3, FALSE)</f>
        <v>Electronics</v>
      </c>
      <c r="M1244" t="str">
        <f>VLOOKUP(E1240, Sales_Reps!$A$2:$E$31, 3, FALSE)</f>
        <v>East</v>
      </c>
      <c r="N1244">
        <f>VLOOKUP(D1244, Products!$A$2:$F$61, 4, FALSE)</f>
        <v>1052</v>
      </c>
    </row>
    <row r="1245" spans="1:14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 t="str">
        <f>VLOOKUP(D1245, Products!$A$2:$F$61, 3, FALSE)</f>
        <v>Electronics</v>
      </c>
      <c r="M1245" t="str">
        <f>VLOOKUP(E1241, Sales_Reps!$A$2:$E$31, 3, FALSE)</f>
        <v>South</v>
      </c>
      <c r="N1245">
        <f>VLOOKUP(D1245, Products!$A$2:$F$61, 4, FALSE)</f>
        <v>1259</v>
      </c>
    </row>
    <row r="1246" spans="1:14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 t="str">
        <f>VLOOKUP(D1246, Products!$A$2:$F$61, 3, FALSE)</f>
        <v>Apparel</v>
      </c>
      <c r="M1246" t="str">
        <f>VLOOKUP(E1242, Sales_Reps!$A$2:$E$31, 3, FALSE)</f>
        <v>West</v>
      </c>
      <c r="N1246">
        <f>VLOOKUP(D1246, Products!$A$2:$F$61, 4, FALSE)</f>
        <v>1173</v>
      </c>
    </row>
    <row r="1247" spans="1:14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 t="str">
        <f>VLOOKUP(D1247, Products!$A$2:$F$61, 3, FALSE)</f>
        <v>Electronics</v>
      </c>
      <c r="M1247" t="str">
        <f>VLOOKUP(E1243, Sales_Reps!$A$2:$E$31, 3, FALSE)</f>
        <v>East</v>
      </c>
      <c r="N1247">
        <f>VLOOKUP(D1247, Products!$A$2:$F$61, 4, FALSE)</f>
        <v>1259</v>
      </c>
    </row>
    <row r="1248" spans="1:14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 t="str">
        <f>VLOOKUP(D1248, Products!$A$2:$F$61, 3, FALSE)</f>
        <v>Electronics</v>
      </c>
      <c r="M1248" t="str">
        <f>VLOOKUP(E1244, Sales_Reps!$A$2:$E$31, 3, FALSE)</f>
        <v>North</v>
      </c>
      <c r="N1248">
        <f>VLOOKUP(D1248, Products!$A$2:$F$61, 4, FALSE)</f>
        <v>2405</v>
      </c>
    </row>
    <row r="1249" spans="1:14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 t="str">
        <f>VLOOKUP(D1249, Products!$A$2:$F$61, 3, FALSE)</f>
        <v>Sports</v>
      </c>
      <c r="M1249" t="str">
        <f>VLOOKUP(E1245, Sales_Reps!$A$2:$E$31, 3, FALSE)</f>
        <v>South</v>
      </c>
      <c r="N1249">
        <f>VLOOKUP(D1249, Products!$A$2:$F$61, 4, FALSE)</f>
        <v>2467</v>
      </c>
    </row>
    <row r="1250" spans="1:14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 t="str">
        <f>VLOOKUP(D1250, Products!$A$2:$F$61, 3, FALSE)</f>
        <v>Sports</v>
      </c>
      <c r="M1250" t="str">
        <f>VLOOKUP(E1246, Sales_Reps!$A$2:$E$31, 3, FALSE)</f>
        <v>East</v>
      </c>
      <c r="N1250">
        <f>VLOOKUP(D1250, Products!$A$2:$F$61, 4, FALSE)</f>
        <v>147</v>
      </c>
    </row>
    <row r="1251" spans="1:14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 t="str">
        <f>VLOOKUP(D1251, Products!$A$2:$F$61, 3, FALSE)</f>
        <v>Electronics</v>
      </c>
      <c r="M1251" t="str">
        <f>VLOOKUP(E1247, Sales_Reps!$A$2:$E$31, 3, FALSE)</f>
        <v>South</v>
      </c>
      <c r="N1251">
        <f>VLOOKUP(D1251, Products!$A$2:$F$61, 4, FALSE)</f>
        <v>2865</v>
      </c>
    </row>
    <row r="1252" spans="1:14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 t="str">
        <f>VLOOKUP(D1252, Products!$A$2:$F$61, 3, FALSE)</f>
        <v>Home</v>
      </c>
      <c r="M1252" t="str">
        <f>VLOOKUP(E1248, Sales_Reps!$A$2:$E$31, 3, FALSE)</f>
        <v>South</v>
      </c>
      <c r="N1252">
        <f>VLOOKUP(D1252, Products!$A$2:$F$61, 4, FALSE)</f>
        <v>1850</v>
      </c>
    </row>
    <row r="1253" spans="1:14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 t="str">
        <f>VLOOKUP(D1253, Products!$A$2:$F$61, 3, FALSE)</f>
        <v>Apparel</v>
      </c>
      <c r="M1253" t="str">
        <f>VLOOKUP(E1249, Sales_Reps!$A$2:$E$31, 3, FALSE)</f>
        <v>West</v>
      </c>
      <c r="N1253">
        <f>VLOOKUP(D1253, Products!$A$2:$F$61, 4, FALSE)</f>
        <v>396</v>
      </c>
    </row>
    <row r="1254" spans="1:14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 t="str">
        <f>VLOOKUP(D1254, Products!$A$2:$F$61, 3, FALSE)</f>
        <v>Beauty</v>
      </c>
      <c r="M1254" t="str">
        <f>VLOOKUP(E1250, Sales_Reps!$A$2:$E$31, 3, FALSE)</f>
        <v>West</v>
      </c>
      <c r="N1254">
        <f>VLOOKUP(D1254, Products!$A$2:$F$61, 4, FALSE)</f>
        <v>647</v>
      </c>
    </row>
    <row r="1255" spans="1:14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 t="str">
        <f>VLOOKUP(D1255, Products!$A$2:$F$61, 3, FALSE)</f>
        <v>Sports</v>
      </c>
      <c r="M1255" t="str">
        <f>VLOOKUP(E1251, Sales_Reps!$A$2:$E$31, 3, FALSE)</f>
        <v>South</v>
      </c>
      <c r="N1255">
        <f>VLOOKUP(D1255, Products!$A$2:$F$61, 4, FALSE)</f>
        <v>302</v>
      </c>
    </row>
    <row r="1256" spans="1:14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 t="str">
        <f>VLOOKUP(D1256, Products!$A$2:$F$61, 3, FALSE)</f>
        <v>Beauty</v>
      </c>
      <c r="M1256" t="str">
        <f>VLOOKUP(E1252, Sales_Reps!$A$2:$E$31, 3, FALSE)</f>
        <v>North</v>
      </c>
      <c r="N1256">
        <f>VLOOKUP(D1256, Products!$A$2:$F$61, 4, FALSE)</f>
        <v>2768</v>
      </c>
    </row>
    <row r="1257" spans="1:14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 t="str">
        <f>VLOOKUP(D1257, Products!$A$2:$F$61, 3, FALSE)</f>
        <v>Sports</v>
      </c>
      <c r="M1257" t="str">
        <f>VLOOKUP(E1253, Sales_Reps!$A$2:$E$31, 3, FALSE)</f>
        <v>West</v>
      </c>
      <c r="N1257">
        <f>VLOOKUP(D1257, Products!$A$2:$F$61, 4, FALSE)</f>
        <v>2265</v>
      </c>
    </row>
    <row r="1258" spans="1:14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 t="str">
        <f>VLOOKUP(D1258, Products!$A$2:$F$61, 3, FALSE)</f>
        <v>Electronics</v>
      </c>
      <c r="M1258" t="str">
        <f>VLOOKUP(E1254, Sales_Reps!$A$2:$E$31, 3, FALSE)</f>
        <v>West</v>
      </c>
      <c r="N1258">
        <f>VLOOKUP(D1258, Products!$A$2:$F$61, 4, FALSE)</f>
        <v>1559</v>
      </c>
    </row>
    <row r="1259" spans="1:14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 t="str">
        <f>VLOOKUP(D1259, Products!$A$2:$F$61, 3, FALSE)</f>
        <v>Electronics</v>
      </c>
      <c r="M1259" t="str">
        <f>VLOOKUP(E1255, Sales_Reps!$A$2:$E$31, 3, FALSE)</f>
        <v>East</v>
      </c>
      <c r="N1259">
        <f>VLOOKUP(D1259, Products!$A$2:$F$61, 4, FALSE)</f>
        <v>1149</v>
      </c>
    </row>
    <row r="1260" spans="1:14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 t="str">
        <f>VLOOKUP(D1260, Products!$A$2:$F$61, 3, FALSE)</f>
        <v>Home</v>
      </c>
      <c r="M1260" t="str">
        <f>VLOOKUP(E1256, Sales_Reps!$A$2:$E$31, 3, FALSE)</f>
        <v>North</v>
      </c>
      <c r="N1260">
        <f>VLOOKUP(D1260, Products!$A$2:$F$61, 4, FALSE)</f>
        <v>2459</v>
      </c>
    </row>
    <row r="1261" spans="1:14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 t="str">
        <f>VLOOKUP(D1261, Products!$A$2:$F$61, 3, FALSE)</f>
        <v>Home</v>
      </c>
      <c r="M1261" t="str">
        <f>VLOOKUP(E1257, Sales_Reps!$A$2:$E$31, 3, FALSE)</f>
        <v>West</v>
      </c>
      <c r="N1261">
        <f>VLOOKUP(D1261, Products!$A$2:$F$61, 4, FALSE)</f>
        <v>1556</v>
      </c>
    </row>
    <row r="1262" spans="1:14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 t="str">
        <f>VLOOKUP(D1262, Products!$A$2:$F$61, 3, FALSE)</f>
        <v>Electronics</v>
      </c>
      <c r="M1262" t="str">
        <f>VLOOKUP(E1258, Sales_Reps!$A$2:$E$31, 3, FALSE)</f>
        <v>East</v>
      </c>
      <c r="N1262">
        <f>VLOOKUP(D1262, Products!$A$2:$F$61, 4, FALSE)</f>
        <v>2865</v>
      </c>
    </row>
    <row r="1263" spans="1:14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 t="str">
        <f>VLOOKUP(D1263, Products!$A$2:$F$61, 3, FALSE)</f>
        <v>Home</v>
      </c>
      <c r="M1263" t="str">
        <f>VLOOKUP(E1259, Sales_Reps!$A$2:$E$31, 3, FALSE)</f>
        <v>East</v>
      </c>
      <c r="N1263">
        <f>VLOOKUP(D1263, Products!$A$2:$F$61, 4, FALSE)</f>
        <v>329</v>
      </c>
    </row>
    <row r="1264" spans="1:14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 t="str">
        <f>VLOOKUP(D1264, Products!$A$2:$F$61, 3, FALSE)</f>
        <v>Electronics</v>
      </c>
      <c r="M1264" t="str">
        <f>VLOOKUP(E1260, Sales_Reps!$A$2:$E$31, 3, FALSE)</f>
        <v>North</v>
      </c>
      <c r="N1264">
        <f>VLOOKUP(D1264, Products!$A$2:$F$61, 4, FALSE)</f>
        <v>1052</v>
      </c>
    </row>
    <row r="1265" spans="1:14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 t="str">
        <f>VLOOKUP(D1265, Products!$A$2:$F$61, 3, FALSE)</f>
        <v>Home</v>
      </c>
      <c r="M1265" t="str">
        <f>VLOOKUP(E1261, Sales_Reps!$A$2:$E$31, 3, FALSE)</f>
        <v>East</v>
      </c>
      <c r="N1265">
        <f>VLOOKUP(D1265, Products!$A$2:$F$61, 4, FALSE)</f>
        <v>329</v>
      </c>
    </row>
    <row r="1266" spans="1:14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 t="str">
        <f>VLOOKUP(D1266, Products!$A$2:$F$61, 3, FALSE)</f>
        <v>Grocery</v>
      </c>
      <c r="M1266" t="str">
        <f>VLOOKUP(E1262, Sales_Reps!$A$2:$E$31, 3, FALSE)</f>
        <v>North</v>
      </c>
      <c r="N1266">
        <f>VLOOKUP(D1266, Products!$A$2:$F$61, 4, FALSE)</f>
        <v>1182</v>
      </c>
    </row>
    <row r="1267" spans="1:14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 t="str">
        <f>VLOOKUP(D1267, Products!$A$2:$F$61, 3, FALSE)</f>
        <v>Beauty</v>
      </c>
      <c r="M1267" t="str">
        <f>VLOOKUP(E1263, Sales_Reps!$A$2:$E$31, 3, FALSE)</f>
        <v>East</v>
      </c>
      <c r="N1267">
        <f>VLOOKUP(D1267, Products!$A$2:$F$61, 4, FALSE)</f>
        <v>1222</v>
      </c>
    </row>
    <row r="1268" spans="1:14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 t="str">
        <f>VLOOKUP(D1268, Products!$A$2:$F$61, 3, FALSE)</f>
        <v>Electronics</v>
      </c>
      <c r="M1268" t="str">
        <f>VLOOKUP(E1264, Sales_Reps!$A$2:$E$31, 3, FALSE)</f>
        <v>East</v>
      </c>
      <c r="N1268">
        <f>VLOOKUP(D1268, Products!$A$2:$F$61, 4, FALSE)</f>
        <v>1149</v>
      </c>
    </row>
    <row r="1269" spans="1:14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 t="str">
        <f>VLOOKUP(D1269, Products!$A$2:$F$61, 3, FALSE)</f>
        <v>Grocery</v>
      </c>
      <c r="M1269" t="str">
        <f>VLOOKUP(E1265, Sales_Reps!$A$2:$E$31, 3, FALSE)</f>
        <v>South</v>
      </c>
      <c r="N1269">
        <f>VLOOKUP(D1269, Products!$A$2:$F$61, 4, FALSE)</f>
        <v>1182</v>
      </c>
    </row>
    <row r="1270" spans="1:14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 t="str">
        <f>VLOOKUP(D1270, Products!$A$2:$F$61, 3, FALSE)</f>
        <v>Grocery</v>
      </c>
      <c r="M1270" t="str">
        <f>VLOOKUP(E1266, Sales_Reps!$A$2:$E$31, 3, FALSE)</f>
        <v>East</v>
      </c>
      <c r="N1270">
        <f>VLOOKUP(D1270, Products!$A$2:$F$61, 4, FALSE)</f>
        <v>1010</v>
      </c>
    </row>
    <row r="1271" spans="1:14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 t="str">
        <f>VLOOKUP(D1271, Products!$A$2:$F$61, 3, FALSE)</f>
        <v>Beauty</v>
      </c>
      <c r="M1271" t="str">
        <f>VLOOKUP(E1267, Sales_Reps!$A$2:$E$31, 3, FALSE)</f>
        <v>South</v>
      </c>
      <c r="N1271">
        <f>VLOOKUP(D1271, Products!$A$2:$F$61, 4, FALSE)</f>
        <v>2617</v>
      </c>
    </row>
    <row r="1272" spans="1:14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 t="str">
        <f>VLOOKUP(D1272, Products!$A$2:$F$61, 3, FALSE)</f>
        <v>Sports</v>
      </c>
      <c r="M1272" t="str">
        <f>VLOOKUP(E1268, Sales_Reps!$A$2:$E$31, 3, FALSE)</f>
        <v>North</v>
      </c>
      <c r="N1272">
        <f>VLOOKUP(D1272, Products!$A$2:$F$61, 4, FALSE)</f>
        <v>516</v>
      </c>
    </row>
    <row r="1273" spans="1:14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 t="str">
        <f>VLOOKUP(D1273, Products!$A$2:$F$61, 3, FALSE)</f>
        <v>Grocery</v>
      </c>
      <c r="M1273" t="str">
        <f>VLOOKUP(E1269, Sales_Reps!$A$2:$E$31, 3, FALSE)</f>
        <v>South</v>
      </c>
      <c r="N1273">
        <f>VLOOKUP(D1273, Products!$A$2:$F$61, 4, FALSE)</f>
        <v>2214</v>
      </c>
    </row>
    <row r="1274" spans="1:14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 t="str">
        <f>VLOOKUP(D1274, Products!$A$2:$F$61, 3, FALSE)</f>
        <v>Home</v>
      </c>
      <c r="M1274" t="str">
        <f>VLOOKUP(E1270, Sales_Reps!$A$2:$E$31, 3, FALSE)</f>
        <v>North</v>
      </c>
      <c r="N1274">
        <f>VLOOKUP(D1274, Products!$A$2:$F$61, 4, FALSE)</f>
        <v>1850</v>
      </c>
    </row>
    <row r="1275" spans="1:14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 t="str">
        <f>VLOOKUP(D1275, Products!$A$2:$F$61, 3, FALSE)</f>
        <v>Beauty</v>
      </c>
      <c r="M1275" t="str">
        <f>VLOOKUP(E1271, Sales_Reps!$A$2:$E$31, 3, FALSE)</f>
        <v>East</v>
      </c>
      <c r="N1275">
        <f>VLOOKUP(D1275, Products!$A$2:$F$61, 4, FALSE)</f>
        <v>2237</v>
      </c>
    </row>
    <row r="1276" spans="1:14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 t="str">
        <f>VLOOKUP(D1276, Products!$A$2:$F$61, 3, FALSE)</f>
        <v>Beauty</v>
      </c>
      <c r="M1276" t="str">
        <f>VLOOKUP(E1272, Sales_Reps!$A$2:$E$31, 3, FALSE)</f>
        <v>East</v>
      </c>
      <c r="N1276">
        <f>VLOOKUP(D1276, Products!$A$2:$F$61, 4, FALSE)</f>
        <v>1626</v>
      </c>
    </row>
    <row r="1277" spans="1:14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 t="str">
        <f>VLOOKUP(D1277, Products!$A$2:$F$61, 3, FALSE)</f>
        <v>Sports</v>
      </c>
      <c r="M1277" t="str">
        <f>VLOOKUP(E1273, Sales_Reps!$A$2:$E$31, 3, FALSE)</f>
        <v>South</v>
      </c>
      <c r="N1277">
        <f>VLOOKUP(D1277, Products!$A$2:$F$61, 4, FALSE)</f>
        <v>1860</v>
      </c>
    </row>
    <row r="1278" spans="1:14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 t="str">
        <f>VLOOKUP(D1278, Products!$A$2:$F$61, 3, FALSE)</f>
        <v>Grocery</v>
      </c>
      <c r="M1278" t="str">
        <f>VLOOKUP(E1274, Sales_Reps!$A$2:$E$31, 3, FALSE)</f>
        <v>West</v>
      </c>
      <c r="N1278">
        <f>VLOOKUP(D1278, Products!$A$2:$F$61, 4, FALSE)</f>
        <v>1010</v>
      </c>
    </row>
    <row r="1279" spans="1:14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 t="str">
        <f>VLOOKUP(D1279, Products!$A$2:$F$61, 3, FALSE)</f>
        <v>Grocery</v>
      </c>
      <c r="M1279" t="str">
        <f>VLOOKUP(E1275, Sales_Reps!$A$2:$E$31, 3, FALSE)</f>
        <v>North</v>
      </c>
      <c r="N1279">
        <f>VLOOKUP(D1279, Products!$A$2:$F$61, 4, FALSE)</f>
        <v>1010</v>
      </c>
    </row>
    <row r="1280" spans="1:14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 t="str">
        <f>VLOOKUP(D1280, Products!$A$2:$F$61, 3, FALSE)</f>
        <v>Beauty</v>
      </c>
      <c r="M1280" t="str">
        <f>VLOOKUP(E1276, Sales_Reps!$A$2:$E$31, 3, FALSE)</f>
        <v>East</v>
      </c>
      <c r="N1280">
        <f>VLOOKUP(D1280, Products!$A$2:$F$61, 4, FALSE)</f>
        <v>1222</v>
      </c>
    </row>
    <row r="1281" spans="1:14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 t="str">
        <f>VLOOKUP(D1281, Products!$A$2:$F$61, 3, FALSE)</f>
        <v>Sports</v>
      </c>
      <c r="M1281" t="str">
        <f>VLOOKUP(E1277, Sales_Reps!$A$2:$E$31, 3, FALSE)</f>
        <v>South</v>
      </c>
      <c r="N1281">
        <f>VLOOKUP(D1281, Products!$A$2:$F$61, 4, FALSE)</f>
        <v>147</v>
      </c>
    </row>
    <row r="1282" spans="1:14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 t="str">
        <f>VLOOKUP(D1282, Products!$A$2:$F$61, 3, FALSE)</f>
        <v>Sports</v>
      </c>
      <c r="M1282" t="str">
        <f>VLOOKUP(E1278, Sales_Reps!$A$2:$E$31, 3, FALSE)</f>
        <v>North</v>
      </c>
      <c r="N1282">
        <f>VLOOKUP(D1282, Products!$A$2:$F$61, 4, FALSE)</f>
        <v>2028</v>
      </c>
    </row>
    <row r="1283" spans="1:14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 t="str">
        <f>VLOOKUP(D1283, Products!$A$2:$F$61, 3, FALSE)</f>
        <v>Electronics</v>
      </c>
      <c r="M1283" t="str">
        <f>VLOOKUP(E1279, Sales_Reps!$A$2:$E$31, 3, FALSE)</f>
        <v>South</v>
      </c>
      <c r="N1283">
        <f>VLOOKUP(D1283, Products!$A$2:$F$61, 4, FALSE)</f>
        <v>128</v>
      </c>
    </row>
    <row r="1284" spans="1:14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 t="str">
        <f>VLOOKUP(D1284, Products!$A$2:$F$61, 3, FALSE)</f>
        <v>Beauty</v>
      </c>
      <c r="M1284" t="str">
        <f>VLOOKUP(E1280, Sales_Reps!$A$2:$E$31, 3, FALSE)</f>
        <v>South</v>
      </c>
      <c r="N1284">
        <f>VLOOKUP(D1284, Products!$A$2:$F$61, 4, FALSE)</f>
        <v>675</v>
      </c>
    </row>
    <row r="1285" spans="1:14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 t="str">
        <f>VLOOKUP(D1285, Products!$A$2:$F$61, 3, FALSE)</f>
        <v>Apparel</v>
      </c>
      <c r="M1285" t="str">
        <f>VLOOKUP(E1281, Sales_Reps!$A$2:$E$31, 3, FALSE)</f>
        <v>North</v>
      </c>
      <c r="N1285">
        <f>VLOOKUP(D1285, Products!$A$2:$F$61, 4, FALSE)</f>
        <v>391</v>
      </c>
    </row>
    <row r="1286" spans="1:14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 t="str">
        <f>VLOOKUP(D1286, Products!$A$2:$F$61, 3, FALSE)</f>
        <v>Home</v>
      </c>
      <c r="M1286" t="str">
        <f>VLOOKUP(E1282, Sales_Reps!$A$2:$E$31, 3, FALSE)</f>
        <v>West</v>
      </c>
      <c r="N1286">
        <f>VLOOKUP(D1286, Products!$A$2:$F$61, 4, FALSE)</f>
        <v>288</v>
      </c>
    </row>
    <row r="1287" spans="1:14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 t="str">
        <f>VLOOKUP(D1287, Products!$A$2:$F$61, 3, FALSE)</f>
        <v>Home</v>
      </c>
      <c r="M1287" t="str">
        <f>VLOOKUP(E1283, Sales_Reps!$A$2:$E$31, 3, FALSE)</f>
        <v>West</v>
      </c>
      <c r="N1287">
        <f>VLOOKUP(D1287, Products!$A$2:$F$61, 4, FALSE)</f>
        <v>2549</v>
      </c>
    </row>
    <row r="1288" spans="1:14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 t="str">
        <f>VLOOKUP(D1288, Products!$A$2:$F$61, 3, FALSE)</f>
        <v>Home</v>
      </c>
      <c r="M1288" t="str">
        <f>VLOOKUP(E1284, Sales_Reps!$A$2:$E$31, 3, FALSE)</f>
        <v>North</v>
      </c>
      <c r="N1288">
        <f>VLOOKUP(D1288, Products!$A$2:$F$61, 4, FALSE)</f>
        <v>288</v>
      </c>
    </row>
    <row r="1289" spans="1:14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 t="str">
        <f>VLOOKUP(D1289, Products!$A$2:$F$61, 3, FALSE)</f>
        <v>Sports</v>
      </c>
      <c r="M1289" t="str">
        <f>VLOOKUP(E1285, Sales_Reps!$A$2:$E$31, 3, FALSE)</f>
        <v>South</v>
      </c>
      <c r="N1289">
        <f>VLOOKUP(D1289, Products!$A$2:$F$61, 4, FALSE)</f>
        <v>147</v>
      </c>
    </row>
    <row r="1290" spans="1:14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 t="str">
        <f>VLOOKUP(D1290, Products!$A$2:$F$61, 3, FALSE)</f>
        <v>Grocery</v>
      </c>
      <c r="M1290" t="str">
        <f>VLOOKUP(E1286, Sales_Reps!$A$2:$E$31, 3, FALSE)</f>
        <v>North</v>
      </c>
      <c r="N1290">
        <f>VLOOKUP(D1290, Products!$A$2:$F$61, 4, FALSE)</f>
        <v>1010</v>
      </c>
    </row>
    <row r="1291" spans="1:14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 t="str">
        <f>VLOOKUP(D1291, Products!$A$2:$F$61, 3, FALSE)</f>
        <v>Beauty</v>
      </c>
      <c r="M1291" t="str">
        <f>VLOOKUP(E1287, Sales_Reps!$A$2:$E$31, 3, FALSE)</f>
        <v>East</v>
      </c>
      <c r="N1291">
        <f>VLOOKUP(D1291, Products!$A$2:$F$61, 4, FALSE)</f>
        <v>1222</v>
      </c>
    </row>
    <row r="1292" spans="1:14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 t="str">
        <f>VLOOKUP(D1292, Products!$A$2:$F$61, 3, FALSE)</f>
        <v>Home</v>
      </c>
      <c r="M1292" t="str">
        <f>VLOOKUP(E1288, Sales_Reps!$A$2:$E$31, 3, FALSE)</f>
        <v>East</v>
      </c>
      <c r="N1292">
        <f>VLOOKUP(D1292, Products!$A$2:$F$61, 4, FALSE)</f>
        <v>329</v>
      </c>
    </row>
    <row r="1293" spans="1:14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 t="str">
        <f>VLOOKUP(D1293, Products!$A$2:$F$61, 3, FALSE)</f>
        <v>Home</v>
      </c>
      <c r="M1293" t="str">
        <f>VLOOKUP(E1289, Sales_Reps!$A$2:$E$31, 3, FALSE)</f>
        <v>East</v>
      </c>
      <c r="N1293">
        <f>VLOOKUP(D1293, Products!$A$2:$F$61, 4, FALSE)</f>
        <v>1850</v>
      </c>
    </row>
    <row r="1294" spans="1:14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 t="str">
        <f>VLOOKUP(D1294, Products!$A$2:$F$61, 3, FALSE)</f>
        <v>Grocery</v>
      </c>
      <c r="M1294" t="str">
        <f>VLOOKUP(E1290, Sales_Reps!$A$2:$E$31, 3, FALSE)</f>
        <v>East</v>
      </c>
      <c r="N1294">
        <f>VLOOKUP(D1294, Products!$A$2:$F$61, 4, FALSE)</f>
        <v>1010</v>
      </c>
    </row>
    <row r="1295" spans="1:14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 t="str">
        <f>VLOOKUP(D1295, Products!$A$2:$F$61, 3, FALSE)</f>
        <v>Beauty</v>
      </c>
      <c r="M1295" t="str">
        <f>VLOOKUP(E1291, Sales_Reps!$A$2:$E$31, 3, FALSE)</f>
        <v>South</v>
      </c>
      <c r="N1295">
        <f>VLOOKUP(D1295, Products!$A$2:$F$61, 4, FALSE)</f>
        <v>1219</v>
      </c>
    </row>
    <row r="1296" spans="1:14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 t="str">
        <f>VLOOKUP(D1296, Products!$A$2:$F$61, 3, FALSE)</f>
        <v>Home</v>
      </c>
      <c r="M1296" t="str">
        <f>VLOOKUP(E1292, Sales_Reps!$A$2:$E$31, 3, FALSE)</f>
        <v>South</v>
      </c>
      <c r="N1296">
        <f>VLOOKUP(D1296, Products!$A$2:$F$61, 4, FALSE)</f>
        <v>519</v>
      </c>
    </row>
    <row r="1297" spans="1:14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 t="str">
        <f>VLOOKUP(D1297, Products!$A$2:$F$61, 3, FALSE)</f>
        <v>Sports</v>
      </c>
      <c r="M1297" t="str">
        <f>VLOOKUP(E1293, Sales_Reps!$A$2:$E$31, 3, FALSE)</f>
        <v>North</v>
      </c>
      <c r="N1297">
        <f>VLOOKUP(D1297, Products!$A$2:$F$61, 4, FALSE)</f>
        <v>705</v>
      </c>
    </row>
    <row r="1298" spans="1:14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 t="str">
        <f>VLOOKUP(D1298, Products!$A$2:$F$61, 3, FALSE)</f>
        <v>Sports</v>
      </c>
      <c r="M1298" t="str">
        <f>VLOOKUP(E1294, Sales_Reps!$A$2:$E$31, 3, FALSE)</f>
        <v>West</v>
      </c>
      <c r="N1298">
        <f>VLOOKUP(D1298, Products!$A$2:$F$61, 4, FALSE)</f>
        <v>974</v>
      </c>
    </row>
    <row r="1299" spans="1:14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 t="str">
        <f>VLOOKUP(D1299, Products!$A$2:$F$61, 3, FALSE)</f>
        <v>Beauty</v>
      </c>
      <c r="M1299" t="str">
        <f>VLOOKUP(E1295, Sales_Reps!$A$2:$E$31, 3, FALSE)</f>
        <v>East</v>
      </c>
      <c r="N1299">
        <f>VLOOKUP(D1299, Products!$A$2:$F$61, 4, FALSE)</f>
        <v>1219</v>
      </c>
    </row>
    <row r="1300" spans="1:14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 t="str">
        <f>VLOOKUP(D1300, Products!$A$2:$F$61, 3, FALSE)</f>
        <v>Home</v>
      </c>
      <c r="M1300" t="str">
        <f>VLOOKUP(E1296, Sales_Reps!$A$2:$E$31, 3, FALSE)</f>
        <v>West</v>
      </c>
      <c r="N1300">
        <f>VLOOKUP(D1300, Products!$A$2:$F$61, 4, FALSE)</f>
        <v>519</v>
      </c>
    </row>
    <row r="1301" spans="1:14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 t="str">
        <f>VLOOKUP(D1301, Products!$A$2:$F$61, 3, FALSE)</f>
        <v>Home</v>
      </c>
      <c r="M1301" t="str">
        <f>VLOOKUP(E1297, Sales_Reps!$A$2:$E$31, 3, FALSE)</f>
        <v>South</v>
      </c>
      <c r="N1301">
        <f>VLOOKUP(D1301, Products!$A$2:$F$61, 4, FALSE)</f>
        <v>464</v>
      </c>
    </row>
    <row r="1302" spans="1:14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 t="str">
        <f>VLOOKUP(D1302, Products!$A$2:$F$61, 3, FALSE)</f>
        <v>Grocery</v>
      </c>
      <c r="M1302" t="str">
        <f>VLOOKUP(E1298, Sales_Reps!$A$2:$E$31, 3, FALSE)</f>
        <v>North</v>
      </c>
      <c r="N1302">
        <f>VLOOKUP(D1302, Products!$A$2:$F$61, 4, FALSE)</f>
        <v>1010</v>
      </c>
    </row>
    <row r="1303" spans="1:14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 t="str">
        <f>VLOOKUP(D1303, Products!$A$2:$F$61, 3, FALSE)</f>
        <v>Apparel</v>
      </c>
      <c r="M1303" t="str">
        <f>VLOOKUP(E1299, Sales_Reps!$A$2:$E$31, 3, FALSE)</f>
        <v>South</v>
      </c>
      <c r="N1303">
        <f>VLOOKUP(D1303, Products!$A$2:$F$61, 4, FALSE)</f>
        <v>2509</v>
      </c>
    </row>
    <row r="1304" spans="1:14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 t="str">
        <f>VLOOKUP(D1304, Products!$A$2:$F$61, 3, FALSE)</f>
        <v>Home</v>
      </c>
      <c r="M1304" t="str">
        <f>VLOOKUP(E1300, Sales_Reps!$A$2:$E$31, 3, FALSE)</f>
        <v>East</v>
      </c>
      <c r="N1304">
        <f>VLOOKUP(D1304, Products!$A$2:$F$61, 4, FALSE)</f>
        <v>1143</v>
      </c>
    </row>
    <row r="1305" spans="1:14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 t="str">
        <f>VLOOKUP(D1305, Products!$A$2:$F$61, 3, FALSE)</f>
        <v>Electronics</v>
      </c>
      <c r="M1305" t="str">
        <f>VLOOKUP(E1301, Sales_Reps!$A$2:$E$31, 3, FALSE)</f>
        <v>North</v>
      </c>
      <c r="N1305">
        <f>VLOOKUP(D1305, Products!$A$2:$F$61, 4, FALSE)</f>
        <v>1559</v>
      </c>
    </row>
    <row r="1306" spans="1:14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 t="str">
        <f>VLOOKUP(D1306, Products!$A$2:$F$61, 3, FALSE)</f>
        <v>Electronics</v>
      </c>
      <c r="M1306" t="str">
        <f>VLOOKUP(E1302, Sales_Reps!$A$2:$E$31, 3, FALSE)</f>
        <v>East</v>
      </c>
      <c r="N1306">
        <f>VLOOKUP(D1306, Products!$A$2:$F$61, 4, FALSE)</f>
        <v>1665</v>
      </c>
    </row>
    <row r="1307" spans="1:14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 t="str">
        <f>VLOOKUP(D1307, Products!$A$2:$F$61, 3, FALSE)</f>
        <v>Electronics</v>
      </c>
      <c r="M1307" t="str">
        <f>VLOOKUP(E1303, Sales_Reps!$A$2:$E$31, 3, FALSE)</f>
        <v>South</v>
      </c>
      <c r="N1307">
        <f>VLOOKUP(D1307, Products!$A$2:$F$61, 4, FALSE)</f>
        <v>2405</v>
      </c>
    </row>
    <row r="1308" spans="1:14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 t="str">
        <f>VLOOKUP(D1308, Products!$A$2:$F$61, 3, FALSE)</f>
        <v>Electronics</v>
      </c>
      <c r="M1308" t="str">
        <f>VLOOKUP(E1304, Sales_Reps!$A$2:$E$31, 3, FALSE)</f>
        <v>South</v>
      </c>
      <c r="N1308">
        <f>VLOOKUP(D1308, Products!$A$2:$F$61, 4, FALSE)</f>
        <v>517</v>
      </c>
    </row>
    <row r="1309" spans="1:14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 t="str">
        <f>VLOOKUP(D1309, Products!$A$2:$F$61, 3, FALSE)</f>
        <v>Apparel</v>
      </c>
      <c r="M1309" t="str">
        <f>VLOOKUP(E1305, Sales_Reps!$A$2:$E$31, 3, FALSE)</f>
        <v>East</v>
      </c>
      <c r="N1309">
        <f>VLOOKUP(D1309, Products!$A$2:$F$61, 4, FALSE)</f>
        <v>1748</v>
      </c>
    </row>
    <row r="1310" spans="1:14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 t="str">
        <f>VLOOKUP(D1310, Products!$A$2:$F$61, 3, FALSE)</f>
        <v>Apparel</v>
      </c>
      <c r="M1310" t="str">
        <f>VLOOKUP(E1306, Sales_Reps!$A$2:$E$31, 3, FALSE)</f>
        <v>South</v>
      </c>
      <c r="N1310">
        <f>VLOOKUP(D1310, Products!$A$2:$F$61, 4, FALSE)</f>
        <v>2629</v>
      </c>
    </row>
    <row r="1311" spans="1:14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 t="str">
        <f>VLOOKUP(D1311, Products!$A$2:$F$61, 3, FALSE)</f>
        <v>Home</v>
      </c>
      <c r="M1311" t="str">
        <f>VLOOKUP(E1307, Sales_Reps!$A$2:$E$31, 3, FALSE)</f>
        <v>East</v>
      </c>
      <c r="N1311">
        <f>VLOOKUP(D1311, Products!$A$2:$F$61, 4, FALSE)</f>
        <v>288</v>
      </c>
    </row>
    <row r="1312" spans="1:14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 t="str">
        <f>VLOOKUP(D1312, Products!$A$2:$F$61, 3, FALSE)</f>
        <v>Electronics</v>
      </c>
      <c r="M1312" t="str">
        <f>VLOOKUP(E1308, Sales_Reps!$A$2:$E$31, 3, FALSE)</f>
        <v>South</v>
      </c>
      <c r="N1312">
        <f>VLOOKUP(D1312, Products!$A$2:$F$61, 4, FALSE)</f>
        <v>517</v>
      </c>
    </row>
    <row r="1313" spans="1:14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 t="str">
        <f>VLOOKUP(D1313, Products!$A$2:$F$61, 3, FALSE)</f>
        <v>Apparel</v>
      </c>
      <c r="M1313" t="str">
        <f>VLOOKUP(E1309, Sales_Reps!$A$2:$E$31, 3, FALSE)</f>
        <v>East</v>
      </c>
      <c r="N1313">
        <f>VLOOKUP(D1313, Products!$A$2:$F$61, 4, FALSE)</f>
        <v>2611</v>
      </c>
    </row>
    <row r="1314" spans="1:14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 t="str">
        <f>VLOOKUP(D1314, Products!$A$2:$F$61, 3, FALSE)</f>
        <v>Beauty</v>
      </c>
      <c r="M1314" t="str">
        <f>VLOOKUP(E1310, Sales_Reps!$A$2:$E$31, 3, FALSE)</f>
        <v>South</v>
      </c>
      <c r="N1314">
        <f>VLOOKUP(D1314, Products!$A$2:$F$61, 4, FALSE)</f>
        <v>1626</v>
      </c>
    </row>
    <row r="1315" spans="1:14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 t="str">
        <f>VLOOKUP(D1315, Products!$A$2:$F$61, 3, FALSE)</f>
        <v>Beauty</v>
      </c>
      <c r="M1315" t="str">
        <f>VLOOKUP(E1311, Sales_Reps!$A$2:$E$31, 3, FALSE)</f>
        <v>North</v>
      </c>
      <c r="N1315">
        <f>VLOOKUP(D1315, Products!$A$2:$F$61, 4, FALSE)</f>
        <v>2237</v>
      </c>
    </row>
    <row r="1316" spans="1:14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 t="str">
        <f>VLOOKUP(D1316, Products!$A$2:$F$61, 3, FALSE)</f>
        <v>Electronics</v>
      </c>
      <c r="M1316" t="str">
        <f>VLOOKUP(E1312, Sales_Reps!$A$2:$E$31, 3, FALSE)</f>
        <v>North</v>
      </c>
      <c r="N1316">
        <f>VLOOKUP(D1316, Products!$A$2:$F$61, 4, FALSE)</f>
        <v>128</v>
      </c>
    </row>
    <row r="1317" spans="1:14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 t="str">
        <f>VLOOKUP(D1317, Products!$A$2:$F$61, 3, FALSE)</f>
        <v>Beauty</v>
      </c>
      <c r="M1317" t="str">
        <f>VLOOKUP(E1313, Sales_Reps!$A$2:$E$31, 3, FALSE)</f>
        <v>North</v>
      </c>
      <c r="N1317">
        <f>VLOOKUP(D1317, Products!$A$2:$F$61, 4, FALSE)</f>
        <v>1219</v>
      </c>
    </row>
    <row r="1318" spans="1:14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 t="str">
        <f>VLOOKUP(D1318, Products!$A$2:$F$61, 3, FALSE)</f>
        <v>Apparel</v>
      </c>
      <c r="M1318" t="str">
        <f>VLOOKUP(E1314, Sales_Reps!$A$2:$E$31, 3, FALSE)</f>
        <v>South</v>
      </c>
      <c r="N1318">
        <f>VLOOKUP(D1318, Products!$A$2:$F$61, 4, FALSE)</f>
        <v>2611</v>
      </c>
    </row>
    <row r="1319" spans="1:14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 t="str">
        <f>VLOOKUP(D1319, Products!$A$2:$F$61, 3, FALSE)</f>
        <v>Apparel</v>
      </c>
      <c r="M1319" t="str">
        <f>VLOOKUP(E1315, Sales_Reps!$A$2:$E$31, 3, FALSE)</f>
        <v>North</v>
      </c>
      <c r="N1319">
        <f>VLOOKUP(D1319, Products!$A$2:$F$61, 4, FALSE)</f>
        <v>391</v>
      </c>
    </row>
    <row r="1320" spans="1:14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 t="str">
        <f>VLOOKUP(D1320, Products!$A$2:$F$61, 3, FALSE)</f>
        <v>Grocery</v>
      </c>
      <c r="M1320" t="str">
        <f>VLOOKUP(E1316, Sales_Reps!$A$2:$E$31, 3, FALSE)</f>
        <v>North</v>
      </c>
      <c r="N1320">
        <f>VLOOKUP(D1320, Products!$A$2:$F$61, 4, FALSE)</f>
        <v>434</v>
      </c>
    </row>
    <row r="1321" spans="1:14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 t="str">
        <f>VLOOKUP(D1321, Products!$A$2:$F$61, 3, FALSE)</f>
        <v>Apparel</v>
      </c>
      <c r="M1321" t="str">
        <f>VLOOKUP(E1317, Sales_Reps!$A$2:$E$31, 3, FALSE)</f>
        <v>North</v>
      </c>
      <c r="N1321">
        <f>VLOOKUP(D1321, Products!$A$2:$F$61, 4, FALSE)</f>
        <v>2629</v>
      </c>
    </row>
    <row r="1322" spans="1:14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 t="str">
        <f>VLOOKUP(D1322, Products!$A$2:$F$61, 3, FALSE)</f>
        <v>Home</v>
      </c>
      <c r="M1322" t="str">
        <f>VLOOKUP(E1318, Sales_Reps!$A$2:$E$31, 3, FALSE)</f>
        <v>West</v>
      </c>
      <c r="N1322">
        <f>VLOOKUP(D1322, Products!$A$2:$F$61, 4, FALSE)</f>
        <v>464</v>
      </c>
    </row>
    <row r="1323" spans="1:14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 t="str">
        <f>VLOOKUP(D1323, Products!$A$2:$F$61, 3, FALSE)</f>
        <v>Electronics</v>
      </c>
      <c r="M1323" t="str">
        <f>VLOOKUP(E1319, Sales_Reps!$A$2:$E$31, 3, FALSE)</f>
        <v>East</v>
      </c>
      <c r="N1323">
        <f>VLOOKUP(D1323, Products!$A$2:$F$61, 4, FALSE)</f>
        <v>1259</v>
      </c>
    </row>
    <row r="1324" spans="1:14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 t="str">
        <f>VLOOKUP(D1324, Products!$A$2:$F$61, 3, FALSE)</f>
        <v>Electronics</v>
      </c>
      <c r="M1324" t="str">
        <f>VLOOKUP(E1320, Sales_Reps!$A$2:$E$31, 3, FALSE)</f>
        <v>South</v>
      </c>
      <c r="N1324">
        <f>VLOOKUP(D1324, Products!$A$2:$F$61, 4, FALSE)</f>
        <v>2865</v>
      </c>
    </row>
    <row r="1325" spans="1:14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 t="str">
        <f>VLOOKUP(D1325, Products!$A$2:$F$61, 3, FALSE)</f>
        <v>Sports</v>
      </c>
      <c r="M1325" t="str">
        <f>VLOOKUP(E1321, Sales_Reps!$A$2:$E$31, 3, FALSE)</f>
        <v>East</v>
      </c>
      <c r="N1325">
        <f>VLOOKUP(D1325, Products!$A$2:$F$61, 4, FALSE)</f>
        <v>2827</v>
      </c>
    </row>
    <row r="1326" spans="1:14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 t="str">
        <f>VLOOKUP(D1326, Products!$A$2:$F$61, 3, FALSE)</f>
        <v>Sports</v>
      </c>
      <c r="M1326" t="str">
        <f>VLOOKUP(E1322, Sales_Reps!$A$2:$E$31, 3, FALSE)</f>
        <v>South</v>
      </c>
      <c r="N1326">
        <f>VLOOKUP(D1326, Products!$A$2:$F$61, 4, FALSE)</f>
        <v>974</v>
      </c>
    </row>
    <row r="1327" spans="1:14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 t="str">
        <f>VLOOKUP(D1327, Products!$A$2:$F$61, 3, FALSE)</f>
        <v>Sports</v>
      </c>
      <c r="M1327" t="str">
        <f>VLOOKUP(E1323, Sales_Reps!$A$2:$E$31, 3, FALSE)</f>
        <v>East</v>
      </c>
      <c r="N1327">
        <f>VLOOKUP(D1327, Products!$A$2:$F$61, 4, FALSE)</f>
        <v>2467</v>
      </c>
    </row>
    <row r="1328" spans="1:14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 t="str">
        <f>VLOOKUP(D1328, Products!$A$2:$F$61, 3, FALSE)</f>
        <v>Electronics</v>
      </c>
      <c r="M1328" t="str">
        <f>VLOOKUP(E1324, Sales_Reps!$A$2:$E$31, 3, FALSE)</f>
        <v>North</v>
      </c>
      <c r="N1328">
        <f>VLOOKUP(D1328, Products!$A$2:$F$61, 4, FALSE)</f>
        <v>517</v>
      </c>
    </row>
    <row r="1329" spans="1:14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 t="str">
        <f>VLOOKUP(D1329, Products!$A$2:$F$61, 3, FALSE)</f>
        <v>Apparel</v>
      </c>
      <c r="M1329" t="str">
        <f>VLOOKUP(E1325, Sales_Reps!$A$2:$E$31, 3, FALSE)</f>
        <v>East</v>
      </c>
      <c r="N1329">
        <f>VLOOKUP(D1329, Products!$A$2:$F$61, 4, FALSE)</f>
        <v>396</v>
      </c>
    </row>
    <row r="1330" spans="1:14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 t="str">
        <f>VLOOKUP(D1330, Products!$A$2:$F$61, 3, FALSE)</f>
        <v>Electronics</v>
      </c>
      <c r="M1330" t="str">
        <f>VLOOKUP(E1326, Sales_Reps!$A$2:$E$31, 3, FALSE)</f>
        <v>North</v>
      </c>
      <c r="N1330">
        <f>VLOOKUP(D1330, Products!$A$2:$F$61, 4, FALSE)</f>
        <v>128</v>
      </c>
    </row>
    <row r="1331" spans="1:14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 t="str">
        <f>VLOOKUP(D1331, Products!$A$2:$F$61, 3, FALSE)</f>
        <v>Sports</v>
      </c>
      <c r="M1331" t="str">
        <f>VLOOKUP(E1327, Sales_Reps!$A$2:$E$31, 3, FALSE)</f>
        <v>East</v>
      </c>
      <c r="N1331">
        <f>VLOOKUP(D1331, Products!$A$2:$F$61, 4, FALSE)</f>
        <v>516</v>
      </c>
    </row>
    <row r="1332" spans="1:14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 t="str">
        <f>VLOOKUP(D1332, Products!$A$2:$F$61, 3, FALSE)</f>
        <v>Home</v>
      </c>
      <c r="M1332" t="str">
        <f>VLOOKUP(E1328, Sales_Reps!$A$2:$E$31, 3, FALSE)</f>
        <v>North</v>
      </c>
      <c r="N1332">
        <f>VLOOKUP(D1332, Products!$A$2:$F$61, 4, FALSE)</f>
        <v>2459</v>
      </c>
    </row>
    <row r="1333" spans="1:14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 t="str">
        <f>VLOOKUP(D1333, Products!$A$2:$F$61, 3, FALSE)</f>
        <v>Apparel</v>
      </c>
      <c r="M1333" t="str">
        <f>VLOOKUP(E1329, Sales_Reps!$A$2:$E$31, 3, FALSE)</f>
        <v>North</v>
      </c>
      <c r="N1333">
        <f>VLOOKUP(D1333, Products!$A$2:$F$61, 4, FALSE)</f>
        <v>1886</v>
      </c>
    </row>
    <row r="1334" spans="1:14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 t="str">
        <f>VLOOKUP(D1334, Products!$A$2:$F$61, 3, FALSE)</f>
        <v>Beauty</v>
      </c>
      <c r="M1334" t="str">
        <f>VLOOKUP(E1330, Sales_Reps!$A$2:$E$31, 3, FALSE)</f>
        <v>East</v>
      </c>
      <c r="N1334">
        <f>VLOOKUP(D1334, Products!$A$2:$F$61, 4, FALSE)</f>
        <v>2420</v>
      </c>
    </row>
    <row r="1335" spans="1:14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 t="str">
        <f>VLOOKUP(D1335, Products!$A$2:$F$61, 3, FALSE)</f>
        <v>Electronics</v>
      </c>
      <c r="M1335" t="str">
        <f>VLOOKUP(E1331, Sales_Reps!$A$2:$E$31, 3, FALSE)</f>
        <v>East</v>
      </c>
      <c r="N1335">
        <f>VLOOKUP(D1335, Products!$A$2:$F$61, 4, FALSE)</f>
        <v>2405</v>
      </c>
    </row>
    <row r="1336" spans="1:14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 t="str">
        <f>VLOOKUP(D1336, Products!$A$2:$F$61, 3, FALSE)</f>
        <v>Sports</v>
      </c>
      <c r="M1336" t="str">
        <f>VLOOKUP(E1332, Sales_Reps!$A$2:$E$31, 3, FALSE)</f>
        <v>West</v>
      </c>
      <c r="N1336">
        <f>VLOOKUP(D1336, Products!$A$2:$F$61, 4, FALSE)</f>
        <v>2827</v>
      </c>
    </row>
    <row r="1337" spans="1:14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 t="str">
        <f>VLOOKUP(D1337, Products!$A$2:$F$61, 3, FALSE)</f>
        <v>Home</v>
      </c>
      <c r="M1337" t="str">
        <f>VLOOKUP(E1333, Sales_Reps!$A$2:$E$31, 3, FALSE)</f>
        <v>West</v>
      </c>
      <c r="N1337">
        <f>VLOOKUP(D1337, Products!$A$2:$F$61, 4, FALSE)</f>
        <v>329</v>
      </c>
    </row>
    <row r="1338" spans="1:14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 t="str">
        <f>VLOOKUP(D1338, Products!$A$2:$F$61, 3, FALSE)</f>
        <v>Beauty</v>
      </c>
      <c r="M1338" t="str">
        <f>VLOOKUP(E1334, Sales_Reps!$A$2:$E$31, 3, FALSE)</f>
        <v>South</v>
      </c>
      <c r="N1338">
        <f>VLOOKUP(D1338, Products!$A$2:$F$61, 4, FALSE)</f>
        <v>2237</v>
      </c>
    </row>
    <row r="1339" spans="1:14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 t="str">
        <f>VLOOKUP(D1339, Products!$A$2:$F$61, 3, FALSE)</f>
        <v>Beauty</v>
      </c>
      <c r="M1339" t="str">
        <f>VLOOKUP(E1335, Sales_Reps!$A$2:$E$31, 3, FALSE)</f>
        <v>North</v>
      </c>
      <c r="N1339">
        <f>VLOOKUP(D1339, Products!$A$2:$F$61, 4, FALSE)</f>
        <v>1222</v>
      </c>
    </row>
    <row r="1340" spans="1:14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 t="str">
        <f>VLOOKUP(D1340, Products!$A$2:$F$61, 3, FALSE)</f>
        <v>Apparel</v>
      </c>
      <c r="M1340" t="str">
        <f>VLOOKUP(E1336, Sales_Reps!$A$2:$E$31, 3, FALSE)</f>
        <v>South</v>
      </c>
      <c r="N1340">
        <f>VLOOKUP(D1340, Products!$A$2:$F$61, 4, FALSE)</f>
        <v>2611</v>
      </c>
    </row>
    <row r="1341" spans="1:14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 t="str">
        <f>VLOOKUP(D1341, Products!$A$2:$F$61, 3, FALSE)</f>
        <v>Beauty</v>
      </c>
      <c r="M1341" t="str">
        <f>VLOOKUP(E1337, Sales_Reps!$A$2:$E$31, 3, FALSE)</f>
        <v>West</v>
      </c>
      <c r="N1341">
        <f>VLOOKUP(D1341, Products!$A$2:$F$61, 4, FALSE)</f>
        <v>2768</v>
      </c>
    </row>
    <row r="1342" spans="1:14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 t="str">
        <f>VLOOKUP(D1342, Products!$A$2:$F$61, 3, FALSE)</f>
        <v>Electronics</v>
      </c>
      <c r="M1342" t="str">
        <f>VLOOKUP(E1338, Sales_Reps!$A$2:$E$31, 3, FALSE)</f>
        <v>South</v>
      </c>
      <c r="N1342">
        <f>VLOOKUP(D1342, Products!$A$2:$F$61, 4, FALSE)</f>
        <v>2405</v>
      </c>
    </row>
    <row r="1343" spans="1:14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 t="str">
        <f>VLOOKUP(D1343, Products!$A$2:$F$61, 3, FALSE)</f>
        <v>Home</v>
      </c>
      <c r="M1343" t="str">
        <f>VLOOKUP(E1339, Sales_Reps!$A$2:$E$31, 3, FALSE)</f>
        <v>South</v>
      </c>
      <c r="N1343">
        <f>VLOOKUP(D1343, Products!$A$2:$F$61, 4, FALSE)</f>
        <v>2549</v>
      </c>
    </row>
    <row r="1344" spans="1:14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 t="str">
        <f>VLOOKUP(D1344, Products!$A$2:$F$61, 3, FALSE)</f>
        <v>Sports</v>
      </c>
      <c r="M1344" t="str">
        <f>VLOOKUP(E1340, Sales_Reps!$A$2:$E$31, 3, FALSE)</f>
        <v>East</v>
      </c>
      <c r="N1344">
        <f>VLOOKUP(D1344, Products!$A$2:$F$61, 4, FALSE)</f>
        <v>147</v>
      </c>
    </row>
    <row r="1345" spans="1:14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 t="str">
        <f>VLOOKUP(D1345, Products!$A$2:$F$61, 3, FALSE)</f>
        <v>Apparel</v>
      </c>
      <c r="M1345" t="str">
        <f>VLOOKUP(E1341, Sales_Reps!$A$2:$E$31, 3, FALSE)</f>
        <v>West</v>
      </c>
      <c r="N1345">
        <f>VLOOKUP(D1345, Products!$A$2:$F$61, 4, FALSE)</f>
        <v>1886</v>
      </c>
    </row>
    <row r="1346" spans="1:14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 t="str">
        <f>VLOOKUP(D1346, Products!$A$2:$F$61, 3, FALSE)</f>
        <v>Home</v>
      </c>
      <c r="M1346" t="str">
        <f>VLOOKUP(E1342, Sales_Reps!$A$2:$E$31, 3, FALSE)</f>
        <v>West</v>
      </c>
      <c r="N1346">
        <f>VLOOKUP(D1346, Products!$A$2:$F$61, 4, FALSE)</f>
        <v>464</v>
      </c>
    </row>
    <row r="1347" spans="1:14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 t="str">
        <f>VLOOKUP(D1347, Products!$A$2:$F$61, 3, FALSE)</f>
        <v>Home</v>
      </c>
      <c r="M1347" t="str">
        <f>VLOOKUP(E1343, Sales_Reps!$A$2:$E$31, 3, FALSE)</f>
        <v>East</v>
      </c>
      <c r="N1347">
        <f>VLOOKUP(D1347, Products!$A$2:$F$61, 4, FALSE)</f>
        <v>288</v>
      </c>
    </row>
    <row r="1348" spans="1:14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 t="str">
        <f>VLOOKUP(D1348, Products!$A$2:$F$61, 3, FALSE)</f>
        <v>Electronics</v>
      </c>
      <c r="M1348" t="str">
        <f>VLOOKUP(E1344, Sales_Reps!$A$2:$E$31, 3, FALSE)</f>
        <v>North</v>
      </c>
      <c r="N1348">
        <f>VLOOKUP(D1348, Products!$A$2:$F$61, 4, FALSE)</f>
        <v>1259</v>
      </c>
    </row>
    <row r="1349" spans="1:14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 t="str">
        <f>VLOOKUP(D1349, Products!$A$2:$F$61, 3, FALSE)</f>
        <v>Apparel</v>
      </c>
      <c r="M1349" t="str">
        <f>VLOOKUP(E1345, Sales_Reps!$A$2:$E$31, 3, FALSE)</f>
        <v>South</v>
      </c>
      <c r="N1349">
        <f>VLOOKUP(D1349, Products!$A$2:$F$61, 4, FALSE)</f>
        <v>2629</v>
      </c>
    </row>
    <row r="1350" spans="1:14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 t="str">
        <f>VLOOKUP(D1350, Products!$A$2:$F$61, 3, FALSE)</f>
        <v>Beauty</v>
      </c>
      <c r="M1350" t="str">
        <f>VLOOKUP(E1346, Sales_Reps!$A$2:$E$31, 3, FALSE)</f>
        <v>East</v>
      </c>
      <c r="N1350">
        <f>VLOOKUP(D1350, Products!$A$2:$F$61, 4, FALSE)</f>
        <v>675</v>
      </c>
    </row>
    <row r="1351" spans="1:14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 t="str">
        <f>VLOOKUP(D1351, Products!$A$2:$F$61, 3, FALSE)</f>
        <v>Home</v>
      </c>
      <c r="M1351" t="str">
        <f>VLOOKUP(E1347, Sales_Reps!$A$2:$E$31, 3, FALSE)</f>
        <v>North</v>
      </c>
      <c r="N1351">
        <f>VLOOKUP(D1351, Products!$A$2:$F$61, 4, FALSE)</f>
        <v>288</v>
      </c>
    </row>
    <row r="1352" spans="1:14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 t="str">
        <f>VLOOKUP(D1352, Products!$A$2:$F$61, 3, FALSE)</f>
        <v>Apparel</v>
      </c>
      <c r="M1352" t="str">
        <f>VLOOKUP(E1348, Sales_Reps!$A$2:$E$31, 3, FALSE)</f>
        <v>North</v>
      </c>
      <c r="N1352">
        <f>VLOOKUP(D1352, Products!$A$2:$F$61, 4, FALSE)</f>
        <v>1962</v>
      </c>
    </row>
    <row r="1353" spans="1:14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 t="str">
        <f>VLOOKUP(D1353, Products!$A$2:$F$61, 3, FALSE)</f>
        <v>Home</v>
      </c>
      <c r="M1353" t="str">
        <f>VLOOKUP(E1349, Sales_Reps!$A$2:$E$31, 3, FALSE)</f>
        <v>East</v>
      </c>
      <c r="N1353">
        <f>VLOOKUP(D1353, Products!$A$2:$F$61, 4, FALSE)</f>
        <v>2459</v>
      </c>
    </row>
    <row r="1354" spans="1:14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 t="str">
        <f>VLOOKUP(D1354, Products!$A$2:$F$61, 3, FALSE)</f>
        <v>Beauty</v>
      </c>
      <c r="M1354" t="str">
        <f>VLOOKUP(E1350, Sales_Reps!$A$2:$E$31, 3, FALSE)</f>
        <v>North</v>
      </c>
      <c r="N1354">
        <f>VLOOKUP(D1354, Products!$A$2:$F$61, 4, FALSE)</f>
        <v>1219</v>
      </c>
    </row>
    <row r="1355" spans="1:14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 t="str">
        <f>VLOOKUP(D1355, Products!$A$2:$F$61, 3, FALSE)</f>
        <v>Grocery</v>
      </c>
      <c r="M1355" t="str">
        <f>VLOOKUP(E1351, Sales_Reps!$A$2:$E$31, 3, FALSE)</f>
        <v>West</v>
      </c>
      <c r="N1355">
        <f>VLOOKUP(D1355, Products!$A$2:$F$61, 4, FALSE)</f>
        <v>1435</v>
      </c>
    </row>
    <row r="1356" spans="1:14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 t="str">
        <f>VLOOKUP(D1356, Products!$A$2:$F$61, 3, FALSE)</f>
        <v>Grocery</v>
      </c>
      <c r="M1356" t="str">
        <f>VLOOKUP(E1352, Sales_Reps!$A$2:$E$31, 3, FALSE)</f>
        <v>West</v>
      </c>
      <c r="N1356">
        <f>VLOOKUP(D1356, Products!$A$2:$F$61, 4, FALSE)</f>
        <v>1203</v>
      </c>
    </row>
    <row r="1357" spans="1:14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 t="str">
        <f>VLOOKUP(D1357, Products!$A$2:$F$61, 3, FALSE)</f>
        <v>Apparel</v>
      </c>
      <c r="M1357" t="str">
        <f>VLOOKUP(E1353, Sales_Reps!$A$2:$E$31, 3, FALSE)</f>
        <v>North</v>
      </c>
      <c r="N1357">
        <f>VLOOKUP(D1357, Products!$A$2:$F$61, 4, FALSE)</f>
        <v>1075</v>
      </c>
    </row>
    <row r="1358" spans="1:14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 t="str">
        <f>VLOOKUP(D1358, Products!$A$2:$F$61, 3, FALSE)</f>
        <v>Grocery</v>
      </c>
      <c r="M1358" t="str">
        <f>VLOOKUP(E1354, Sales_Reps!$A$2:$E$31, 3, FALSE)</f>
        <v>North</v>
      </c>
      <c r="N1358">
        <f>VLOOKUP(D1358, Products!$A$2:$F$61, 4, FALSE)</f>
        <v>1182</v>
      </c>
    </row>
    <row r="1359" spans="1:14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 t="str">
        <f>VLOOKUP(D1359, Products!$A$2:$F$61, 3, FALSE)</f>
        <v>Sports</v>
      </c>
      <c r="M1359" t="str">
        <f>VLOOKUP(E1355, Sales_Reps!$A$2:$E$31, 3, FALSE)</f>
        <v>North</v>
      </c>
      <c r="N1359">
        <f>VLOOKUP(D1359, Products!$A$2:$F$61, 4, FALSE)</f>
        <v>1860</v>
      </c>
    </row>
    <row r="1360" spans="1:14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 t="str">
        <f>VLOOKUP(D1360, Products!$A$2:$F$61, 3, FALSE)</f>
        <v>Apparel</v>
      </c>
      <c r="M1360" t="str">
        <f>VLOOKUP(E1356, Sales_Reps!$A$2:$E$31, 3, FALSE)</f>
        <v>West</v>
      </c>
      <c r="N1360">
        <f>VLOOKUP(D1360, Products!$A$2:$F$61, 4, FALSE)</f>
        <v>1748</v>
      </c>
    </row>
    <row r="1361" spans="1:14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 t="str">
        <f>VLOOKUP(D1361, Products!$A$2:$F$61, 3, FALSE)</f>
        <v>Beauty</v>
      </c>
      <c r="M1361" t="str">
        <f>VLOOKUP(E1357, Sales_Reps!$A$2:$E$31, 3, FALSE)</f>
        <v>North</v>
      </c>
      <c r="N1361">
        <f>VLOOKUP(D1361, Products!$A$2:$F$61, 4, FALSE)</f>
        <v>2768</v>
      </c>
    </row>
    <row r="1362" spans="1:14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 t="str">
        <f>VLOOKUP(D1362, Products!$A$2:$F$61, 3, FALSE)</f>
        <v>Beauty</v>
      </c>
      <c r="M1362" t="str">
        <f>VLOOKUP(E1358, Sales_Reps!$A$2:$E$31, 3, FALSE)</f>
        <v>South</v>
      </c>
      <c r="N1362">
        <f>VLOOKUP(D1362, Products!$A$2:$F$61, 4, FALSE)</f>
        <v>675</v>
      </c>
    </row>
    <row r="1363" spans="1:14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 t="str">
        <f>VLOOKUP(D1363, Products!$A$2:$F$61, 3, FALSE)</f>
        <v>Apparel</v>
      </c>
      <c r="M1363" t="str">
        <f>VLOOKUP(E1359, Sales_Reps!$A$2:$E$31, 3, FALSE)</f>
        <v>East</v>
      </c>
      <c r="N1363">
        <f>VLOOKUP(D1363, Products!$A$2:$F$61, 4, FALSE)</f>
        <v>2629</v>
      </c>
    </row>
    <row r="1364" spans="1:14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 t="str">
        <f>VLOOKUP(D1364, Products!$A$2:$F$61, 3, FALSE)</f>
        <v>Grocery</v>
      </c>
      <c r="M1364" t="str">
        <f>VLOOKUP(E1360, Sales_Reps!$A$2:$E$31, 3, FALSE)</f>
        <v>West</v>
      </c>
      <c r="N1364">
        <f>VLOOKUP(D1364, Products!$A$2:$F$61, 4, FALSE)</f>
        <v>2911</v>
      </c>
    </row>
    <row r="1365" spans="1:14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 t="str">
        <f>VLOOKUP(D1365, Products!$A$2:$F$61, 3, FALSE)</f>
        <v>Apparel</v>
      </c>
      <c r="M1365" t="str">
        <f>VLOOKUP(E1361, Sales_Reps!$A$2:$E$31, 3, FALSE)</f>
        <v>North</v>
      </c>
      <c r="N1365">
        <f>VLOOKUP(D1365, Products!$A$2:$F$61, 4, FALSE)</f>
        <v>1962</v>
      </c>
    </row>
    <row r="1366" spans="1:14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 t="str">
        <f>VLOOKUP(D1366, Products!$A$2:$F$61, 3, FALSE)</f>
        <v>Grocery</v>
      </c>
      <c r="M1366" t="str">
        <f>VLOOKUP(E1362, Sales_Reps!$A$2:$E$31, 3, FALSE)</f>
        <v>South</v>
      </c>
      <c r="N1366">
        <f>VLOOKUP(D1366, Products!$A$2:$F$61, 4, FALSE)</f>
        <v>1010</v>
      </c>
    </row>
    <row r="1367" spans="1:14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 t="str">
        <f>VLOOKUP(D1367, Products!$A$2:$F$61, 3, FALSE)</f>
        <v>Beauty</v>
      </c>
      <c r="M1367" t="str">
        <f>VLOOKUP(E1363, Sales_Reps!$A$2:$E$31, 3, FALSE)</f>
        <v>East</v>
      </c>
      <c r="N1367">
        <f>VLOOKUP(D1367, Products!$A$2:$F$61, 4, FALSE)</f>
        <v>2420</v>
      </c>
    </row>
    <row r="1368" spans="1:14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 t="str">
        <f>VLOOKUP(D1368, Products!$A$2:$F$61, 3, FALSE)</f>
        <v>Grocery</v>
      </c>
      <c r="M1368" t="str">
        <f>VLOOKUP(E1364, Sales_Reps!$A$2:$E$31, 3, FALSE)</f>
        <v>North</v>
      </c>
      <c r="N1368">
        <f>VLOOKUP(D1368, Products!$A$2:$F$61, 4, FALSE)</f>
        <v>1182</v>
      </c>
    </row>
    <row r="1369" spans="1:14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 t="str">
        <f>VLOOKUP(D1369, Products!$A$2:$F$61, 3, FALSE)</f>
        <v>Grocery</v>
      </c>
      <c r="M1369" t="str">
        <f>VLOOKUP(E1365, Sales_Reps!$A$2:$E$31, 3, FALSE)</f>
        <v>East</v>
      </c>
      <c r="N1369">
        <f>VLOOKUP(D1369, Products!$A$2:$F$61, 4, FALSE)</f>
        <v>1182</v>
      </c>
    </row>
    <row r="1370" spans="1:14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 t="str">
        <f>VLOOKUP(D1370, Products!$A$2:$F$61, 3, FALSE)</f>
        <v>Apparel</v>
      </c>
      <c r="M1370" t="str">
        <f>VLOOKUP(E1366, Sales_Reps!$A$2:$E$31, 3, FALSE)</f>
        <v>East</v>
      </c>
      <c r="N1370">
        <f>VLOOKUP(D1370, Products!$A$2:$F$61, 4, FALSE)</f>
        <v>2629</v>
      </c>
    </row>
    <row r="1371" spans="1:14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 t="str">
        <f>VLOOKUP(D1371, Products!$A$2:$F$61, 3, FALSE)</f>
        <v>Electronics</v>
      </c>
      <c r="M1371" t="str">
        <f>VLOOKUP(E1367, Sales_Reps!$A$2:$E$31, 3, FALSE)</f>
        <v>South</v>
      </c>
      <c r="N1371">
        <f>VLOOKUP(D1371, Products!$A$2:$F$61, 4, FALSE)</f>
        <v>517</v>
      </c>
    </row>
    <row r="1372" spans="1:14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 t="str">
        <f>VLOOKUP(D1372, Products!$A$2:$F$61, 3, FALSE)</f>
        <v>Sports</v>
      </c>
      <c r="M1372" t="str">
        <f>VLOOKUP(E1368, Sales_Reps!$A$2:$E$31, 3, FALSE)</f>
        <v>East</v>
      </c>
      <c r="N1372">
        <f>VLOOKUP(D1372, Products!$A$2:$F$61, 4, FALSE)</f>
        <v>2827</v>
      </c>
    </row>
    <row r="1373" spans="1:14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 t="str">
        <f>VLOOKUP(D1373, Products!$A$2:$F$61, 3, FALSE)</f>
        <v>Home</v>
      </c>
      <c r="M1373" t="str">
        <f>VLOOKUP(E1369, Sales_Reps!$A$2:$E$31, 3, FALSE)</f>
        <v>North</v>
      </c>
      <c r="N1373">
        <f>VLOOKUP(D1373, Products!$A$2:$F$61, 4, FALSE)</f>
        <v>464</v>
      </c>
    </row>
    <row r="1374" spans="1:14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 t="str">
        <f>VLOOKUP(D1374, Products!$A$2:$F$61, 3, FALSE)</f>
        <v>Grocery</v>
      </c>
      <c r="M1374" t="str">
        <f>VLOOKUP(E1370, Sales_Reps!$A$2:$E$31, 3, FALSE)</f>
        <v>South</v>
      </c>
      <c r="N1374">
        <f>VLOOKUP(D1374, Products!$A$2:$F$61, 4, FALSE)</f>
        <v>1182</v>
      </c>
    </row>
    <row r="1375" spans="1:14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 t="str">
        <f>VLOOKUP(D1375, Products!$A$2:$F$61, 3, FALSE)</f>
        <v>Grocery</v>
      </c>
      <c r="M1375" t="str">
        <f>VLOOKUP(E1371, Sales_Reps!$A$2:$E$31, 3, FALSE)</f>
        <v>East</v>
      </c>
      <c r="N1375">
        <f>VLOOKUP(D1375, Products!$A$2:$F$61, 4, FALSE)</f>
        <v>1203</v>
      </c>
    </row>
    <row r="1376" spans="1:14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 t="str">
        <f>VLOOKUP(D1376, Products!$A$2:$F$61, 3, FALSE)</f>
        <v>Home</v>
      </c>
      <c r="M1376" t="str">
        <f>VLOOKUP(E1372, Sales_Reps!$A$2:$E$31, 3, FALSE)</f>
        <v>East</v>
      </c>
      <c r="N1376">
        <f>VLOOKUP(D1376, Products!$A$2:$F$61, 4, FALSE)</f>
        <v>1143</v>
      </c>
    </row>
    <row r="1377" spans="1:14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 t="str">
        <f>VLOOKUP(D1377, Products!$A$2:$F$61, 3, FALSE)</f>
        <v>Home</v>
      </c>
      <c r="M1377" t="str">
        <f>VLOOKUP(E1373, Sales_Reps!$A$2:$E$31, 3, FALSE)</f>
        <v>East</v>
      </c>
      <c r="N1377">
        <f>VLOOKUP(D1377, Products!$A$2:$F$61, 4, FALSE)</f>
        <v>464</v>
      </c>
    </row>
    <row r="1378" spans="1:14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 t="str">
        <f>VLOOKUP(D1378, Products!$A$2:$F$61, 3, FALSE)</f>
        <v>Apparel</v>
      </c>
      <c r="M1378" t="str">
        <f>VLOOKUP(E1374, Sales_Reps!$A$2:$E$31, 3, FALSE)</f>
        <v>West</v>
      </c>
      <c r="N1378">
        <f>VLOOKUP(D1378, Products!$A$2:$F$61, 4, FALSE)</f>
        <v>1075</v>
      </c>
    </row>
    <row r="1379" spans="1:14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 t="str">
        <f>VLOOKUP(D1379, Products!$A$2:$F$61, 3, FALSE)</f>
        <v>Grocery</v>
      </c>
      <c r="M1379" t="str">
        <f>VLOOKUP(E1375, Sales_Reps!$A$2:$E$31, 3, FALSE)</f>
        <v>North</v>
      </c>
      <c r="N1379">
        <f>VLOOKUP(D1379, Products!$A$2:$F$61, 4, FALSE)</f>
        <v>1203</v>
      </c>
    </row>
    <row r="1380" spans="1:14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 t="str">
        <f>VLOOKUP(D1380, Products!$A$2:$F$61, 3, FALSE)</f>
        <v>Electronics</v>
      </c>
      <c r="M1380" t="str">
        <f>VLOOKUP(E1376, Sales_Reps!$A$2:$E$31, 3, FALSE)</f>
        <v>East</v>
      </c>
      <c r="N1380">
        <f>VLOOKUP(D1380, Products!$A$2:$F$61, 4, FALSE)</f>
        <v>2865</v>
      </c>
    </row>
    <row r="1381" spans="1:14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 t="str">
        <f>VLOOKUP(D1381, Products!$A$2:$F$61, 3, FALSE)</f>
        <v>Grocery</v>
      </c>
      <c r="M1381" t="str">
        <f>VLOOKUP(E1377, Sales_Reps!$A$2:$E$31, 3, FALSE)</f>
        <v>West</v>
      </c>
      <c r="N1381">
        <f>VLOOKUP(D1381, Products!$A$2:$F$61, 4, FALSE)</f>
        <v>1010</v>
      </c>
    </row>
    <row r="1382" spans="1:14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 t="str">
        <f>VLOOKUP(D1382, Products!$A$2:$F$61, 3, FALSE)</f>
        <v>Beauty</v>
      </c>
      <c r="M1382" t="str">
        <f>VLOOKUP(E1378, Sales_Reps!$A$2:$E$31, 3, FALSE)</f>
        <v>East</v>
      </c>
      <c r="N1382">
        <f>VLOOKUP(D1382, Products!$A$2:$F$61, 4, FALSE)</f>
        <v>647</v>
      </c>
    </row>
    <row r="1383" spans="1:14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 t="str">
        <f>VLOOKUP(D1383, Products!$A$2:$F$61, 3, FALSE)</f>
        <v>Home</v>
      </c>
      <c r="M1383" t="str">
        <f>VLOOKUP(E1379, Sales_Reps!$A$2:$E$31, 3, FALSE)</f>
        <v>West</v>
      </c>
      <c r="N1383">
        <f>VLOOKUP(D1383, Products!$A$2:$F$61, 4, FALSE)</f>
        <v>1850</v>
      </c>
    </row>
    <row r="1384" spans="1:14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 t="str">
        <f>VLOOKUP(D1384, Products!$A$2:$F$61, 3, FALSE)</f>
        <v>Electronics</v>
      </c>
      <c r="M1384" t="str">
        <f>VLOOKUP(E1380, Sales_Reps!$A$2:$E$31, 3, FALSE)</f>
        <v>West</v>
      </c>
      <c r="N1384">
        <f>VLOOKUP(D1384, Products!$A$2:$F$61, 4, FALSE)</f>
        <v>2865</v>
      </c>
    </row>
    <row r="1385" spans="1:14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 t="str">
        <f>VLOOKUP(D1385, Products!$A$2:$F$61, 3, FALSE)</f>
        <v>Electronics</v>
      </c>
      <c r="M1385" t="str">
        <f>VLOOKUP(E1381, Sales_Reps!$A$2:$E$31, 3, FALSE)</f>
        <v>South</v>
      </c>
      <c r="N1385">
        <f>VLOOKUP(D1385, Products!$A$2:$F$61, 4, FALSE)</f>
        <v>1259</v>
      </c>
    </row>
    <row r="1386" spans="1:14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 t="str">
        <f>VLOOKUP(D1386, Products!$A$2:$F$61, 3, FALSE)</f>
        <v>Beauty</v>
      </c>
      <c r="M1386" t="str">
        <f>VLOOKUP(E1382, Sales_Reps!$A$2:$E$31, 3, FALSE)</f>
        <v>East</v>
      </c>
      <c r="N1386">
        <f>VLOOKUP(D1386, Products!$A$2:$F$61, 4, FALSE)</f>
        <v>2420</v>
      </c>
    </row>
    <row r="1387" spans="1:14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 t="str">
        <f>VLOOKUP(D1387, Products!$A$2:$F$61, 3, FALSE)</f>
        <v>Sports</v>
      </c>
      <c r="M1387" t="str">
        <f>VLOOKUP(E1383, Sales_Reps!$A$2:$E$31, 3, FALSE)</f>
        <v>West</v>
      </c>
      <c r="N1387">
        <f>VLOOKUP(D1387, Products!$A$2:$F$61, 4, FALSE)</f>
        <v>302</v>
      </c>
    </row>
    <row r="1388" spans="1:14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 t="str">
        <f>VLOOKUP(D1388, Products!$A$2:$F$61, 3, FALSE)</f>
        <v>Sports</v>
      </c>
      <c r="M1388" t="str">
        <f>VLOOKUP(E1384, Sales_Reps!$A$2:$E$31, 3, FALSE)</f>
        <v>North</v>
      </c>
      <c r="N1388">
        <f>VLOOKUP(D1388, Products!$A$2:$F$61, 4, FALSE)</f>
        <v>1860</v>
      </c>
    </row>
    <row r="1389" spans="1:14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 t="str">
        <f>VLOOKUP(D1389, Products!$A$2:$F$61, 3, FALSE)</f>
        <v>Apparel</v>
      </c>
      <c r="M1389" t="str">
        <f>VLOOKUP(E1385, Sales_Reps!$A$2:$E$31, 3, FALSE)</f>
        <v>North</v>
      </c>
      <c r="N1389">
        <f>VLOOKUP(D1389, Products!$A$2:$F$61, 4, FALSE)</f>
        <v>2509</v>
      </c>
    </row>
    <row r="1390" spans="1:14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 t="str">
        <f>VLOOKUP(D1390, Products!$A$2:$F$61, 3, FALSE)</f>
        <v>Beauty</v>
      </c>
      <c r="M1390" t="str">
        <f>VLOOKUP(E1386, Sales_Reps!$A$2:$E$31, 3, FALSE)</f>
        <v>East</v>
      </c>
      <c r="N1390">
        <f>VLOOKUP(D1390, Products!$A$2:$F$61, 4, FALSE)</f>
        <v>675</v>
      </c>
    </row>
    <row r="1391" spans="1:14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 t="str">
        <f>VLOOKUP(D1391, Products!$A$2:$F$61, 3, FALSE)</f>
        <v>Beauty</v>
      </c>
      <c r="M1391" t="str">
        <f>VLOOKUP(E1387, Sales_Reps!$A$2:$E$31, 3, FALSE)</f>
        <v>North</v>
      </c>
      <c r="N1391">
        <f>VLOOKUP(D1391, Products!$A$2:$F$61, 4, FALSE)</f>
        <v>1728</v>
      </c>
    </row>
    <row r="1392" spans="1:14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 t="str">
        <f>VLOOKUP(D1392, Products!$A$2:$F$61, 3, FALSE)</f>
        <v>Sports</v>
      </c>
      <c r="M1392" t="str">
        <f>VLOOKUP(E1388, Sales_Reps!$A$2:$E$31, 3, FALSE)</f>
        <v>East</v>
      </c>
      <c r="N1392">
        <f>VLOOKUP(D1392, Products!$A$2:$F$61, 4, FALSE)</f>
        <v>974</v>
      </c>
    </row>
    <row r="1393" spans="1:14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 t="str">
        <f>VLOOKUP(D1393, Products!$A$2:$F$61, 3, FALSE)</f>
        <v>Sports</v>
      </c>
      <c r="M1393" t="str">
        <f>VLOOKUP(E1389, Sales_Reps!$A$2:$E$31, 3, FALSE)</f>
        <v>West</v>
      </c>
      <c r="N1393">
        <f>VLOOKUP(D1393, Products!$A$2:$F$61, 4, FALSE)</f>
        <v>2028</v>
      </c>
    </row>
    <row r="1394" spans="1:14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 t="str">
        <f>VLOOKUP(D1394, Products!$A$2:$F$61, 3, FALSE)</f>
        <v>Beauty</v>
      </c>
      <c r="M1394" t="str">
        <f>VLOOKUP(E1390, Sales_Reps!$A$2:$E$31, 3, FALSE)</f>
        <v>West</v>
      </c>
      <c r="N1394">
        <f>VLOOKUP(D1394, Products!$A$2:$F$61, 4, FALSE)</f>
        <v>1219</v>
      </c>
    </row>
    <row r="1395" spans="1:14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 t="str">
        <f>VLOOKUP(D1395, Products!$A$2:$F$61, 3, FALSE)</f>
        <v>Electronics</v>
      </c>
      <c r="M1395" t="str">
        <f>VLOOKUP(E1391, Sales_Reps!$A$2:$E$31, 3, FALSE)</f>
        <v>North</v>
      </c>
      <c r="N1395">
        <f>VLOOKUP(D1395, Products!$A$2:$F$61, 4, FALSE)</f>
        <v>2405</v>
      </c>
    </row>
    <row r="1396" spans="1:14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 t="str">
        <f>VLOOKUP(D1396, Products!$A$2:$F$61, 3, FALSE)</f>
        <v>Apparel</v>
      </c>
      <c r="M1396" t="str">
        <f>VLOOKUP(E1392, Sales_Reps!$A$2:$E$31, 3, FALSE)</f>
        <v>West</v>
      </c>
      <c r="N1396">
        <f>VLOOKUP(D1396, Products!$A$2:$F$61, 4, FALSE)</f>
        <v>2611</v>
      </c>
    </row>
    <row r="1397" spans="1:14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 t="str">
        <f>VLOOKUP(D1397, Products!$A$2:$F$61, 3, FALSE)</f>
        <v>Home</v>
      </c>
      <c r="M1397" t="str">
        <f>VLOOKUP(E1393, Sales_Reps!$A$2:$E$31, 3, FALSE)</f>
        <v>North</v>
      </c>
      <c r="N1397">
        <f>VLOOKUP(D1397, Products!$A$2:$F$61, 4, FALSE)</f>
        <v>2459</v>
      </c>
    </row>
    <row r="1398" spans="1:14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 t="str">
        <f>VLOOKUP(D1398, Products!$A$2:$F$61, 3, FALSE)</f>
        <v>Home</v>
      </c>
      <c r="M1398" t="str">
        <f>VLOOKUP(E1394, Sales_Reps!$A$2:$E$31, 3, FALSE)</f>
        <v>North</v>
      </c>
      <c r="N1398">
        <f>VLOOKUP(D1398, Products!$A$2:$F$61, 4, FALSE)</f>
        <v>464</v>
      </c>
    </row>
    <row r="1399" spans="1:14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 t="str">
        <f>VLOOKUP(D1399, Products!$A$2:$F$61, 3, FALSE)</f>
        <v>Beauty</v>
      </c>
      <c r="M1399" t="str">
        <f>VLOOKUP(E1395, Sales_Reps!$A$2:$E$31, 3, FALSE)</f>
        <v>East</v>
      </c>
      <c r="N1399">
        <f>VLOOKUP(D1399, Products!$A$2:$F$61, 4, FALSE)</f>
        <v>2420</v>
      </c>
    </row>
    <row r="1400" spans="1:14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 t="str">
        <f>VLOOKUP(D1400, Products!$A$2:$F$61, 3, FALSE)</f>
        <v>Sports</v>
      </c>
      <c r="M1400" t="str">
        <f>VLOOKUP(E1396, Sales_Reps!$A$2:$E$31, 3, FALSE)</f>
        <v>East</v>
      </c>
      <c r="N1400">
        <f>VLOOKUP(D1400, Products!$A$2:$F$61, 4, FALSE)</f>
        <v>2265</v>
      </c>
    </row>
    <row r="1401" spans="1:14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 t="str">
        <f>VLOOKUP(D1401, Products!$A$2:$F$61, 3, FALSE)</f>
        <v>Apparel</v>
      </c>
      <c r="M1401" t="str">
        <f>VLOOKUP(E1397, Sales_Reps!$A$2:$E$31, 3, FALSE)</f>
        <v>West</v>
      </c>
      <c r="N1401">
        <f>VLOOKUP(D1401, Products!$A$2:$F$61, 4, FALSE)</f>
        <v>1748</v>
      </c>
    </row>
    <row r="1402" spans="1:14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 t="str">
        <f>VLOOKUP(D1402, Products!$A$2:$F$61, 3, FALSE)</f>
        <v>Apparel</v>
      </c>
      <c r="M1402" t="str">
        <f>VLOOKUP(E1398, Sales_Reps!$A$2:$E$31, 3, FALSE)</f>
        <v>East</v>
      </c>
      <c r="N1402">
        <f>VLOOKUP(D1402, Products!$A$2:$F$61, 4, FALSE)</f>
        <v>1886</v>
      </c>
    </row>
    <row r="1403" spans="1:14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 t="str">
        <f>VLOOKUP(D1403, Products!$A$2:$F$61, 3, FALSE)</f>
        <v>Beauty</v>
      </c>
      <c r="M1403" t="str">
        <f>VLOOKUP(E1399, Sales_Reps!$A$2:$E$31, 3, FALSE)</f>
        <v>West</v>
      </c>
      <c r="N1403">
        <f>VLOOKUP(D1403, Products!$A$2:$F$61, 4, FALSE)</f>
        <v>647</v>
      </c>
    </row>
    <row r="1404" spans="1:14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 t="str">
        <f>VLOOKUP(D1404, Products!$A$2:$F$61, 3, FALSE)</f>
        <v>Apparel</v>
      </c>
      <c r="M1404" t="str">
        <f>VLOOKUP(E1400, Sales_Reps!$A$2:$E$31, 3, FALSE)</f>
        <v>South</v>
      </c>
      <c r="N1404">
        <f>VLOOKUP(D1404, Products!$A$2:$F$61, 4, FALSE)</f>
        <v>2611</v>
      </c>
    </row>
    <row r="1405" spans="1:14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 t="str">
        <f>VLOOKUP(D1405, Products!$A$2:$F$61, 3, FALSE)</f>
        <v>Sports</v>
      </c>
      <c r="M1405" t="str">
        <f>VLOOKUP(E1401, Sales_Reps!$A$2:$E$31, 3, FALSE)</f>
        <v>West</v>
      </c>
      <c r="N1405">
        <f>VLOOKUP(D1405, Products!$A$2:$F$61, 4, FALSE)</f>
        <v>1860</v>
      </c>
    </row>
    <row r="1406" spans="1:14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 t="str">
        <f>VLOOKUP(D1406, Products!$A$2:$F$61, 3, FALSE)</f>
        <v>Apparel</v>
      </c>
      <c r="M1406" t="str">
        <f>VLOOKUP(E1402, Sales_Reps!$A$2:$E$31, 3, FALSE)</f>
        <v>West</v>
      </c>
      <c r="N1406">
        <f>VLOOKUP(D1406, Products!$A$2:$F$61, 4, FALSE)</f>
        <v>1962</v>
      </c>
    </row>
    <row r="1407" spans="1:14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 t="str">
        <f>VLOOKUP(D1407, Products!$A$2:$F$61, 3, FALSE)</f>
        <v>Apparel</v>
      </c>
      <c r="M1407" t="str">
        <f>VLOOKUP(E1403, Sales_Reps!$A$2:$E$31, 3, FALSE)</f>
        <v>West</v>
      </c>
      <c r="N1407">
        <f>VLOOKUP(D1407, Products!$A$2:$F$61, 4, FALSE)</f>
        <v>2509</v>
      </c>
    </row>
    <row r="1408" spans="1:14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 t="str">
        <f>VLOOKUP(D1408, Products!$A$2:$F$61, 3, FALSE)</f>
        <v>Apparel</v>
      </c>
      <c r="M1408" t="str">
        <f>VLOOKUP(E1404, Sales_Reps!$A$2:$E$31, 3, FALSE)</f>
        <v>East</v>
      </c>
      <c r="N1408">
        <f>VLOOKUP(D1408, Products!$A$2:$F$61, 4, FALSE)</f>
        <v>1748</v>
      </c>
    </row>
    <row r="1409" spans="1:14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 t="str">
        <f>VLOOKUP(D1409, Products!$A$2:$F$61, 3, FALSE)</f>
        <v>Apparel</v>
      </c>
      <c r="M1409" t="str">
        <f>VLOOKUP(E1405, Sales_Reps!$A$2:$E$31, 3, FALSE)</f>
        <v>North</v>
      </c>
      <c r="N1409">
        <f>VLOOKUP(D1409, Products!$A$2:$F$61, 4, FALSE)</f>
        <v>2611</v>
      </c>
    </row>
    <row r="1410" spans="1:14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 t="str">
        <f>VLOOKUP(D1410, Products!$A$2:$F$61, 3, FALSE)</f>
        <v>Apparel</v>
      </c>
      <c r="M1410" t="str">
        <f>VLOOKUP(E1406, Sales_Reps!$A$2:$E$31, 3, FALSE)</f>
        <v>West</v>
      </c>
      <c r="N1410">
        <f>VLOOKUP(D1410, Products!$A$2:$F$61, 4, FALSE)</f>
        <v>396</v>
      </c>
    </row>
    <row r="1411" spans="1:14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 t="str">
        <f>VLOOKUP(D1411, Products!$A$2:$F$61, 3, FALSE)</f>
        <v>Sports</v>
      </c>
      <c r="M1411" t="str">
        <f>VLOOKUP(E1407, Sales_Reps!$A$2:$E$31, 3, FALSE)</f>
        <v>North</v>
      </c>
      <c r="N1411">
        <f>VLOOKUP(D1411, Products!$A$2:$F$61, 4, FALSE)</f>
        <v>1860</v>
      </c>
    </row>
    <row r="1412" spans="1:14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 t="str">
        <f>VLOOKUP(D1412, Products!$A$2:$F$61, 3, FALSE)</f>
        <v>Electronics</v>
      </c>
      <c r="M1412" t="str">
        <f>VLOOKUP(E1408, Sales_Reps!$A$2:$E$31, 3, FALSE)</f>
        <v>North</v>
      </c>
      <c r="N1412">
        <f>VLOOKUP(D1412, Products!$A$2:$F$61, 4, FALSE)</f>
        <v>1665</v>
      </c>
    </row>
    <row r="1413" spans="1:14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 t="str">
        <f>VLOOKUP(D1413, Products!$A$2:$F$61, 3, FALSE)</f>
        <v>Beauty</v>
      </c>
      <c r="M1413" t="str">
        <f>VLOOKUP(E1409, Sales_Reps!$A$2:$E$31, 3, FALSE)</f>
        <v>South</v>
      </c>
      <c r="N1413">
        <f>VLOOKUP(D1413, Products!$A$2:$F$61, 4, FALSE)</f>
        <v>1222</v>
      </c>
    </row>
    <row r="1414" spans="1:14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 t="str">
        <f>VLOOKUP(D1414, Products!$A$2:$F$61, 3, FALSE)</f>
        <v>Beauty</v>
      </c>
      <c r="M1414" t="str">
        <f>VLOOKUP(E1410, Sales_Reps!$A$2:$E$31, 3, FALSE)</f>
        <v>East</v>
      </c>
      <c r="N1414">
        <f>VLOOKUP(D1414, Products!$A$2:$F$61, 4, FALSE)</f>
        <v>675</v>
      </c>
    </row>
    <row r="1415" spans="1:14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 t="str">
        <f>VLOOKUP(D1415, Products!$A$2:$F$61, 3, FALSE)</f>
        <v>Electronics</v>
      </c>
      <c r="M1415" t="str">
        <f>VLOOKUP(E1411, Sales_Reps!$A$2:$E$31, 3, FALSE)</f>
        <v>South</v>
      </c>
      <c r="N1415">
        <f>VLOOKUP(D1415, Products!$A$2:$F$61, 4, FALSE)</f>
        <v>128</v>
      </c>
    </row>
    <row r="1416" spans="1:14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 t="str">
        <f>VLOOKUP(D1416, Products!$A$2:$F$61, 3, FALSE)</f>
        <v>Grocery</v>
      </c>
      <c r="M1416" t="str">
        <f>VLOOKUP(E1412, Sales_Reps!$A$2:$E$31, 3, FALSE)</f>
        <v>South</v>
      </c>
      <c r="N1416">
        <f>VLOOKUP(D1416, Products!$A$2:$F$61, 4, FALSE)</f>
        <v>2911</v>
      </c>
    </row>
    <row r="1417" spans="1:14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 t="str">
        <f>VLOOKUP(D1417, Products!$A$2:$F$61, 3, FALSE)</f>
        <v>Electronics</v>
      </c>
      <c r="M1417" t="str">
        <f>VLOOKUP(E1413, Sales_Reps!$A$2:$E$31, 3, FALSE)</f>
        <v>North</v>
      </c>
      <c r="N1417">
        <f>VLOOKUP(D1417, Products!$A$2:$F$61, 4, FALSE)</f>
        <v>2405</v>
      </c>
    </row>
    <row r="1418" spans="1:14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 t="str">
        <f>VLOOKUP(D1418, Products!$A$2:$F$61, 3, FALSE)</f>
        <v>Home</v>
      </c>
      <c r="M1418" t="str">
        <f>VLOOKUP(E1414, Sales_Reps!$A$2:$E$31, 3, FALSE)</f>
        <v>South</v>
      </c>
      <c r="N1418">
        <f>VLOOKUP(D1418, Products!$A$2:$F$61, 4, FALSE)</f>
        <v>2135</v>
      </c>
    </row>
    <row r="1419" spans="1:14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 t="str">
        <f>VLOOKUP(D1419, Products!$A$2:$F$61, 3, FALSE)</f>
        <v>Beauty</v>
      </c>
      <c r="M1419" t="str">
        <f>VLOOKUP(E1415, Sales_Reps!$A$2:$E$31, 3, FALSE)</f>
        <v>North</v>
      </c>
      <c r="N1419">
        <f>VLOOKUP(D1419, Products!$A$2:$F$61, 4, FALSE)</f>
        <v>2617</v>
      </c>
    </row>
    <row r="1420" spans="1:14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 t="str">
        <f>VLOOKUP(D1420, Products!$A$2:$F$61, 3, FALSE)</f>
        <v>Apparel</v>
      </c>
      <c r="M1420" t="str">
        <f>VLOOKUP(E1416, Sales_Reps!$A$2:$E$31, 3, FALSE)</f>
        <v>West</v>
      </c>
      <c r="N1420">
        <f>VLOOKUP(D1420, Products!$A$2:$F$61, 4, FALSE)</f>
        <v>1962</v>
      </c>
    </row>
    <row r="1421" spans="1:14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 t="str">
        <f>VLOOKUP(D1421, Products!$A$2:$F$61, 3, FALSE)</f>
        <v>Apparel</v>
      </c>
      <c r="M1421" t="str">
        <f>VLOOKUP(E1417, Sales_Reps!$A$2:$E$31, 3, FALSE)</f>
        <v>East</v>
      </c>
      <c r="N1421">
        <f>VLOOKUP(D1421, Products!$A$2:$F$61, 4, FALSE)</f>
        <v>1748</v>
      </c>
    </row>
    <row r="1422" spans="1:14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 t="str">
        <f>VLOOKUP(D1422, Products!$A$2:$F$61, 3, FALSE)</f>
        <v>Home</v>
      </c>
      <c r="M1422" t="str">
        <f>VLOOKUP(E1418, Sales_Reps!$A$2:$E$31, 3, FALSE)</f>
        <v>East</v>
      </c>
      <c r="N1422">
        <f>VLOOKUP(D1422, Products!$A$2:$F$61, 4, FALSE)</f>
        <v>464</v>
      </c>
    </row>
    <row r="1423" spans="1:14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 t="str">
        <f>VLOOKUP(D1423, Products!$A$2:$F$61, 3, FALSE)</f>
        <v>Electronics</v>
      </c>
      <c r="M1423" t="str">
        <f>VLOOKUP(E1419, Sales_Reps!$A$2:$E$31, 3, FALSE)</f>
        <v>West</v>
      </c>
      <c r="N1423">
        <f>VLOOKUP(D1423, Products!$A$2:$F$61, 4, FALSE)</f>
        <v>1665</v>
      </c>
    </row>
    <row r="1424" spans="1:14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 t="str">
        <f>VLOOKUP(D1424, Products!$A$2:$F$61, 3, FALSE)</f>
        <v>Apparel</v>
      </c>
      <c r="M1424" t="str">
        <f>VLOOKUP(E1420, Sales_Reps!$A$2:$E$31, 3, FALSE)</f>
        <v>West</v>
      </c>
      <c r="N1424">
        <f>VLOOKUP(D1424, Products!$A$2:$F$61, 4, FALSE)</f>
        <v>1173</v>
      </c>
    </row>
    <row r="1425" spans="1:14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 t="str">
        <f>VLOOKUP(D1425, Products!$A$2:$F$61, 3, FALSE)</f>
        <v>Grocery</v>
      </c>
      <c r="M1425" t="str">
        <f>VLOOKUP(E1421, Sales_Reps!$A$2:$E$31, 3, FALSE)</f>
        <v>East</v>
      </c>
      <c r="N1425">
        <f>VLOOKUP(D1425, Products!$A$2:$F$61, 4, FALSE)</f>
        <v>2436</v>
      </c>
    </row>
    <row r="1426" spans="1:14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 t="str">
        <f>VLOOKUP(D1426, Products!$A$2:$F$61, 3, FALSE)</f>
        <v>Grocery</v>
      </c>
      <c r="M1426" t="str">
        <f>VLOOKUP(E1422, Sales_Reps!$A$2:$E$31, 3, FALSE)</f>
        <v>East</v>
      </c>
      <c r="N1426">
        <f>VLOOKUP(D1426, Products!$A$2:$F$61, 4, FALSE)</f>
        <v>2911</v>
      </c>
    </row>
    <row r="1427" spans="1:14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 t="str">
        <f>VLOOKUP(D1427, Products!$A$2:$F$61, 3, FALSE)</f>
        <v>Electronics</v>
      </c>
      <c r="M1427" t="str">
        <f>VLOOKUP(E1423, Sales_Reps!$A$2:$E$31, 3, FALSE)</f>
        <v>East</v>
      </c>
      <c r="N1427">
        <f>VLOOKUP(D1427, Products!$A$2:$F$61, 4, FALSE)</f>
        <v>128</v>
      </c>
    </row>
    <row r="1428" spans="1:14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 t="str">
        <f>VLOOKUP(D1428, Products!$A$2:$F$61, 3, FALSE)</f>
        <v>Home</v>
      </c>
      <c r="M1428" t="str">
        <f>VLOOKUP(E1424, Sales_Reps!$A$2:$E$31, 3, FALSE)</f>
        <v>South</v>
      </c>
      <c r="N1428">
        <f>VLOOKUP(D1428, Products!$A$2:$F$61, 4, FALSE)</f>
        <v>1556</v>
      </c>
    </row>
    <row r="1429" spans="1:14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 t="str">
        <f>VLOOKUP(D1429, Products!$A$2:$F$61, 3, FALSE)</f>
        <v>Sports</v>
      </c>
      <c r="M1429" t="str">
        <f>VLOOKUP(E1425, Sales_Reps!$A$2:$E$31, 3, FALSE)</f>
        <v>East</v>
      </c>
      <c r="N1429">
        <f>VLOOKUP(D1429, Products!$A$2:$F$61, 4, FALSE)</f>
        <v>2028</v>
      </c>
    </row>
    <row r="1430" spans="1:14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 t="str">
        <f>VLOOKUP(D1430, Products!$A$2:$F$61, 3, FALSE)</f>
        <v>Electronics</v>
      </c>
      <c r="M1430" t="str">
        <f>VLOOKUP(E1426, Sales_Reps!$A$2:$E$31, 3, FALSE)</f>
        <v>South</v>
      </c>
      <c r="N1430">
        <f>VLOOKUP(D1430, Products!$A$2:$F$61, 4, FALSE)</f>
        <v>517</v>
      </c>
    </row>
    <row r="1431" spans="1:14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 t="str">
        <f>VLOOKUP(D1431, Products!$A$2:$F$61, 3, FALSE)</f>
        <v>Grocery</v>
      </c>
      <c r="M1431" t="str">
        <f>VLOOKUP(E1427, Sales_Reps!$A$2:$E$31, 3, FALSE)</f>
        <v>North</v>
      </c>
      <c r="N1431">
        <f>VLOOKUP(D1431, Products!$A$2:$F$61, 4, FALSE)</f>
        <v>2436</v>
      </c>
    </row>
    <row r="1432" spans="1:14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 t="str">
        <f>VLOOKUP(D1432, Products!$A$2:$F$61, 3, FALSE)</f>
        <v>Home</v>
      </c>
      <c r="M1432" t="str">
        <f>VLOOKUP(E1428, Sales_Reps!$A$2:$E$31, 3, FALSE)</f>
        <v>North</v>
      </c>
      <c r="N1432">
        <f>VLOOKUP(D1432, Products!$A$2:$F$61, 4, FALSE)</f>
        <v>2549</v>
      </c>
    </row>
    <row r="1433" spans="1:14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 t="str">
        <f>VLOOKUP(D1433, Products!$A$2:$F$61, 3, FALSE)</f>
        <v>Grocery</v>
      </c>
      <c r="M1433" t="str">
        <f>VLOOKUP(E1429, Sales_Reps!$A$2:$E$31, 3, FALSE)</f>
        <v>South</v>
      </c>
      <c r="N1433">
        <f>VLOOKUP(D1433, Products!$A$2:$F$61, 4, FALSE)</f>
        <v>1412</v>
      </c>
    </row>
    <row r="1434" spans="1:14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 t="str">
        <f>VLOOKUP(D1434, Products!$A$2:$F$61, 3, FALSE)</f>
        <v>Grocery</v>
      </c>
      <c r="M1434" t="str">
        <f>VLOOKUP(E1430, Sales_Reps!$A$2:$E$31, 3, FALSE)</f>
        <v>East</v>
      </c>
      <c r="N1434">
        <f>VLOOKUP(D1434, Products!$A$2:$F$61, 4, FALSE)</f>
        <v>1010</v>
      </c>
    </row>
    <row r="1435" spans="1:14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 t="str">
        <f>VLOOKUP(D1435, Products!$A$2:$F$61, 3, FALSE)</f>
        <v>Home</v>
      </c>
      <c r="M1435" t="str">
        <f>VLOOKUP(E1431, Sales_Reps!$A$2:$E$31, 3, FALSE)</f>
        <v>South</v>
      </c>
      <c r="N1435">
        <f>VLOOKUP(D1435, Products!$A$2:$F$61, 4, FALSE)</f>
        <v>464</v>
      </c>
    </row>
    <row r="1436" spans="1:14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 t="str">
        <f>VLOOKUP(D1436, Products!$A$2:$F$61, 3, FALSE)</f>
        <v>Apparel</v>
      </c>
      <c r="M1436" t="str">
        <f>VLOOKUP(E1432, Sales_Reps!$A$2:$E$31, 3, FALSE)</f>
        <v>East</v>
      </c>
      <c r="N1436">
        <f>VLOOKUP(D1436, Products!$A$2:$F$61, 4, FALSE)</f>
        <v>2629</v>
      </c>
    </row>
    <row r="1437" spans="1:14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 t="str">
        <f>VLOOKUP(D1437, Products!$A$2:$F$61, 3, FALSE)</f>
        <v>Sports</v>
      </c>
      <c r="M1437" t="str">
        <f>VLOOKUP(E1433, Sales_Reps!$A$2:$E$31, 3, FALSE)</f>
        <v>West</v>
      </c>
      <c r="N1437">
        <f>VLOOKUP(D1437, Products!$A$2:$F$61, 4, FALSE)</f>
        <v>516</v>
      </c>
    </row>
    <row r="1438" spans="1:14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 t="str">
        <f>VLOOKUP(D1438, Products!$A$2:$F$61, 3, FALSE)</f>
        <v>Home</v>
      </c>
      <c r="M1438" t="str">
        <f>VLOOKUP(E1434, Sales_Reps!$A$2:$E$31, 3, FALSE)</f>
        <v>East</v>
      </c>
      <c r="N1438">
        <f>VLOOKUP(D1438, Products!$A$2:$F$61, 4, FALSE)</f>
        <v>1143</v>
      </c>
    </row>
    <row r="1439" spans="1:14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 t="str">
        <f>VLOOKUP(D1439, Products!$A$2:$F$61, 3, FALSE)</f>
        <v>Electronics</v>
      </c>
      <c r="M1439" t="str">
        <f>VLOOKUP(E1435, Sales_Reps!$A$2:$E$31, 3, FALSE)</f>
        <v>South</v>
      </c>
      <c r="N1439">
        <f>VLOOKUP(D1439, Products!$A$2:$F$61, 4, FALSE)</f>
        <v>2405</v>
      </c>
    </row>
    <row r="1440" spans="1:14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 t="str">
        <f>VLOOKUP(D1440, Products!$A$2:$F$61, 3, FALSE)</f>
        <v>Electronics</v>
      </c>
      <c r="M1440" t="str">
        <f>VLOOKUP(E1436, Sales_Reps!$A$2:$E$31, 3, FALSE)</f>
        <v>North</v>
      </c>
      <c r="N1440">
        <f>VLOOKUP(D1440, Products!$A$2:$F$61, 4, FALSE)</f>
        <v>1149</v>
      </c>
    </row>
    <row r="1441" spans="1:14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 t="str">
        <f>VLOOKUP(D1441, Products!$A$2:$F$61, 3, FALSE)</f>
        <v>Electronics</v>
      </c>
      <c r="M1441" t="str">
        <f>VLOOKUP(E1437, Sales_Reps!$A$2:$E$31, 3, FALSE)</f>
        <v>West</v>
      </c>
      <c r="N1441">
        <f>VLOOKUP(D1441, Products!$A$2:$F$61, 4, FALSE)</f>
        <v>1259</v>
      </c>
    </row>
    <row r="1442" spans="1:14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 t="str">
        <f>VLOOKUP(D1442, Products!$A$2:$F$61, 3, FALSE)</f>
        <v>Home</v>
      </c>
      <c r="M1442" t="str">
        <f>VLOOKUP(E1438, Sales_Reps!$A$2:$E$31, 3, FALSE)</f>
        <v>South</v>
      </c>
      <c r="N1442">
        <f>VLOOKUP(D1442, Products!$A$2:$F$61, 4, FALSE)</f>
        <v>1556</v>
      </c>
    </row>
    <row r="1443" spans="1:14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 t="str">
        <f>VLOOKUP(D1443, Products!$A$2:$F$61, 3, FALSE)</f>
        <v>Grocery</v>
      </c>
      <c r="M1443" t="str">
        <f>VLOOKUP(E1439, Sales_Reps!$A$2:$E$31, 3, FALSE)</f>
        <v>South</v>
      </c>
      <c r="N1443">
        <f>VLOOKUP(D1443, Products!$A$2:$F$61, 4, FALSE)</f>
        <v>1010</v>
      </c>
    </row>
    <row r="1444" spans="1:14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 t="str">
        <f>VLOOKUP(D1444, Products!$A$2:$F$61, 3, FALSE)</f>
        <v>Home</v>
      </c>
      <c r="M1444" t="str">
        <f>VLOOKUP(E1440, Sales_Reps!$A$2:$E$31, 3, FALSE)</f>
        <v>North</v>
      </c>
      <c r="N1444">
        <f>VLOOKUP(D1444, Products!$A$2:$F$61, 4, FALSE)</f>
        <v>288</v>
      </c>
    </row>
    <row r="1445" spans="1:14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 t="str">
        <f>VLOOKUP(D1445, Products!$A$2:$F$61, 3, FALSE)</f>
        <v>Sports</v>
      </c>
      <c r="M1445" t="str">
        <f>VLOOKUP(E1441, Sales_Reps!$A$2:$E$31, 3, FALSE)</f>
        <v>South</v>
      </c>
      <c r="N1445">
        <f>VLOOKUP(D1445, Products!$A$2:$F$61, 4, FALSE)</f>
        <v>1860</v>
      </c>
    </row>
    <row r="1446" spans="1:14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 t="str">
        <f>VLOOKUP(D1446, Products!$A$2:$F$61, 3, FALSE)</f>
        <v>Sports</v>
      </c>
      <c r="M1446" t="str">
        <f>VLOOKUP(E1442, Sales_Reps!$A$2:$E$31, 3, FALSE)</f>
        <v>East</v>
      </c>
      <c r="N1446">
        <f>VLOOKUP(D1446, Products!$A$2:$F$61, 4, FALSE)</f>
        <v>516</v>
      </c>
    </row>
    <row r="1447" spans="1:14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 t="str">
        <f>VLOOKUP(D1447, Products!$A$2:$F$61, 3, FALSE)</f>
        <v>Apparel</v>
      </c>
      <c r="M1447" t="str">
        <f>VLOOKUP(E1443, Sales_Reps!$A$2:$E$31, 3, FALSE)</f>
        <v>North</v>
      </c>
      <c r="N1447">
        <f>VLOOKUP(D1447, Products!$A$2:$F$61, 4, FALSE)</f>
        <v>391</v>
      </c>
    </row>
    <row r="1448" spans="1:14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 t="str">
        <f>VLOOKUP(D1448, Products!$A$2:$F$61, 3, FALSE)</f>
        <v>Grocery</v>
      </c>
      <c r="M1448" t="str">
        <f>VLOOKUP(E1444, Sales_Reps!$A$2:$E$31, 3, FALSE)</f>
        <v>East</v>
      </c>
      <c r="N1448">
        <f>VLOOKUP(D1448, Products!$A$2:$F$61, 4, FALSE)</f>
        <v>2214</v>
      </c>
    </row>
    <row r="1449" spans="1:14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 t="str">
        <f>VLOOKUP(D1449, Products!$A$2:$F$61, 3, FALSE)</f>
        <v>Grocery</v>
      </c>
      <c r="M1449" t="str">
        <f>VLOOKUP(E1445, Sales_Reps!$A$2:$E$31, 3, FALSE)</f>
        <v>East</v>
      </c>
      <c r="N1449">
        <f>VLOOKUP(D1449, Products!$A$2:$F$61, 4, FALSE)</f>
        <v>1412</v>
      </c>
    </row>
    <row r="1450" spans="1:14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 t="str">
        <f>VLOOKUP(D1450, Products!$A$2:$F$61, 3, FALSE)</f>
        <v>Beauty</v>
      </c>
      <c r="M1450" t="str">
        <f>VLOOKUP(E1446, Sales_Reps!$A$2:$E$31, 3, FALSE)</f>
        <v>North</v>
      </c>
      <c r="N1450">
        <f>VLOOKUP(D1450, Products!$A$2:$F$61, 4, FALSE)</f>
        <v>675</v>
      </c>
    </row>
    <row r="1451" spans="1:14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 t="str">
        <f>VLOOKUP(D1451, Products!$A$2:$F$61, 3, FALSE)</f>
        <v>Home</v>
      </c>
      <c r="M1451" t="str">
        <f>VLOOKUP(E1447, Sales_Reps!$A$2:$E$31, 3, FALSE)</f>
        <v>South</v>
      </c>
      <c r="N1451">
        <f>VLOOKUP(D1451, Products!$A$2:$F$61, 4, FALSE)</f>
        <v>1143</v>
      </c>
    </row>
    <row r="1452" spans="1:14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 t="str">
        <f>VLOOKUP(D1452, Products!$A$2:$F$61, 3, FALSE)</f>
        <v>Grocery</v>
      </c>
      <c r="M1452" t="str">
        <f>VLOOKUP(E1448, Sales_Reps!$A$2:$E$31, 3, FALSE)</f>
        <v>South</v>
      </c>
      <c r="N1452">
        <f>VLOOKUP(D1452, Products!$A$2:$F$61, 4, FALSE)</f>
        <v>1182</v>
      </c>
    </row>
    <row r="1453" spans="1:14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 t="str">
        <f>VLOOKUP(D1453, Products!$A$2:$F$61, 3, FALSE)</f>
        <v>Beauty</v>
      </c>
      <c r="M1453" t="str">
        <f>VLOOKUP(E1449, Sales_Reps!$A$2:$E$31, 3, FALSE)</f>
        <v>East</v>
      </c>
      <c r="N1453">
        <f>VLOOKUP(D1453, Products!$A$2:$F$61, 4, FALSE)</f>
        <v>2420</v>
      </c>
    </row>
    <row r="1454" spans="1:14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 t="str">
        <f>VLOOKUP(D1454, Products!$A$2:$F$61, 3, FALSE)</f>
        <v>Beauty</v>
      </c>
      <c r="M1454" t="str">
        <f>VLOOKUP(E1450, Sales_Reps!$A$2:$E$31, 3, FALSE)</f>
        <v>East</v>
      </c>
      <c r="N1454">
        <f>VLOOKUP(D1454, Products!$A$2:$F$61, 4, FALSE)</f>
        <v>675</v>
      </c>
    </row>
    <row r="1455" spans="1:14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 t="str">
        <f>VLOOKUP(D1455, Products!$A$2:$F$61, 3, FALSE)</f>
        <v>Apparel</v>
      </c>
      <c r="M1455" t="str">
        <f>VLOOKUP(E1451, Sales_Reps!$A$2:$E$31, 3, FALSE)</f>
        <v>West</v>
      </c>
      <c r="N1455">
        <f>VLOOKUP(D1455, Products!$A$2:$F$61, 4, FALSE)</f>
        <v>2629</v>
      </c>
    </row>
    <row r="1456" spans="1:14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 t="str">
        <f>VLOOKUP(D1456, Products!$A$2:$F$61, 3, FALSE)</f>
        <v>Apparel</v>
      </c>
      <c r="M1456" t="str">
        <f>VLOOKUP(E1452, Sales_Reps!$A$2:$E$31, 3, FALSE)</f>
        <v>North</v>
      </c>
      <c r="N1456">
        <f>VLOOKUP(D1456, Products!$A$2:$F$61, 4, FALSE)</f>
        <v>1962</v>
      </c>
    </row>
    <row r="1457" spans="1:14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 t="str">
        <f>VLOOKUP(D1457, Products!$A$2:$F$61, 3, FALSE)</f>
        <v>Electronics</v>
      </c>
      <c r="M1457" t="str">
        <f>VLOOKUP(E1453, Sales_Reps!$A$2:$E$31, 3, FALSE)</f>
        <v>South</v>
      </c>
      <c r="N1457">
        <f>VLOOKUP(D1457, Products!$A$2:$F$61, 4, FALSE)</f>
        <v>517</v>
      </c>
    </row>
    <row r="1458" spans="1:14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 t="str">
        <f>VLOOKUP(D1458, Products!$A$2:$F$61, 3, FALSE)</f>
        <v>Home</v>
      </c>
      <c r="M1458" t="str">
        <f>VLOOKUP(E1454, Sales_Reps!$A$2:$E$31, 3, FALSE)</f>
        <v>East</v>
      </c>
      <c r="N1458">
        <f>VLOOKUP(D1458, Products!$A$2:$F$61, 4, FALSE)</f>
        <v>464</v>
      </c>
    </row>
    <row r="1459" spans="1:14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 t="str">
        <f>VLOOKUP(D1459, Products!$A$2:$F$61, 3, FALSE)</f>
        <v>Home</v>
      </c>
      <c r="M1459" t="str">
        <f>VLOOKUP(E1455, Sales_Reps!$A$2:$E$31, 3, FALSE)</f>
        <v>South</v>
      </c>
      <c r="N1459">
        <f>VLOOKUP(D1459, Products!$A$2:$F$61, 4, FALSE)</f>
        <v>288</v>
      </c>
    </row>
    <row r="1460" spans="1:14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 t="str">
        <f>VLOOKUP(D1460, Products!$A$2:$F$61, 3, FALSE)</f>
        <v>Sports</v>
      </c>
      <c r="M1460" t="str">
        <f>VLOOKUP(E1456, Sales_Reps!$A$2:$E$31, 3, FALSE)</f>
        <v>South</v>
      </c>
      <c r="N1460">
        <f>VLOOKUP(D1460, Products!$A$2:$F$61, 4, FALSE)</f>
        <v>2028</v>
      </c>
    </row>
    <row r="1461" spans="1:14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 t="str">
        <f>VLOOKUP(D1461, Products!$A$2:$F$61, 3, FALSE)</f>
        <v>Grocery</v>
      </c>
      <c r="M1461" t="str">
        <f>VLOOKUP(E1457, Sales_Reps!$A$2:$E$31, 3, FALSE)</f>
        <v>West</v>
      </c>
      <c r="N1461">
        <f>VLOOKUP(D1461, Products!$A$2:$F$61, 4, FALSE)</f>
        <v>1010</v>
      </c>
    </row>
    <row r="1462" spans="1:14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 t="str">
        <f>VLOOKUP(D1462, Products!$A$2:$F$61, 3, FALSE)</f>
        <v>Grocery</v>
      </c>
      <c r="M1462" t="str">
        <f>VLOOKUP(E1458, Sales_Reps!$A$2:$E$31, 3, FALSE)</f>
        <v>West</v>
      </c>
      <c r="N1462">
        <f>VLOOKUP(D1462, Products!$A$2:$F$61, 4, FALSE)</f>
        <v>434</v>
      </c>
    </row>
    <row r="1463" spans="1:14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 t="str">
        <f>VLOOKUP(D1463, Products!$A$2:$F$61, 3, FALSE)</f>
        <v>Apparel</v>
      </c>
      <c r="M1463" t="str">
        <f>VLOOKUP(E1459, Sales_Reps!$A$2:$E$31, 3, FALSE)</f>
        <v>West</v>
      </c>
      <c r="N1463">
        <f>VLOOKUP(D1463, Products!$A$2:$F$61, 4, FALSE)</f>
        <v>2629</v>
      </c>
    </row>
    <row r="1464" spans="1:14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 t="str">
        <f>VLOOKUP(D1464, Products!$A$2:$F$61, 3, FALSE)</f>
        <v>Home</v>
      </c>
      <c r="M1464" t="str">
        <f>VLOOKUP(E1460, Sales_Reps!$A$2:$E$31, 3, FALSE)</f>
        <v>North</v>
      </c>
      <c r="N1464">
        <f>VLOOKUP(D1464, Products!$A$2:$F$61, 4, FALSE)</f>
        <v>519</v>
      </c>
    </row>
    <row r="1465" spans="1:14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 t="str">
        <f>VLOOKUP(D1465, Products!$A$2:$F$61, 3, FALSE)</f>
        <v>Electronics</v>
      </c>
      <c r="M1465" t="str">
        <f>VLOOKUP(E1461, Sales_Reps!$A$2:$E$31, 3, FALSE)</f>
        <v>West</v>
      </c>
      <c r="N1465">
        <f>VLOOKUP(D1465, Products!$A$2:$F$61, 4, FALSE)</f>
        <v>517</v>
      </c>
    </row>
    <row r="1466" spans="1:14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 t="str">
        <f>VLOOKUP(D1466, Products!$A$2:$F$61, 3, FALSE)</f>
        <v>Home</v>
      </c>
      <c r="M1466" t="str">
        <f>VLOOKUP(E1462, Sales_Reps!$A$2:$E$31, 3, FALSE)</f>
        <v>West</v>
      </c>
      <c r="N1466">
        <f>VLOOKUP(D1466, Products!$A$2:$F$61, 4, FALSE)</f>
        <v>2135</v>
      </c>
    </row>
    <row r="1467" spans="1:14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 t="str">
        <f>VLOOKUP(D1467, Products!$A$2:$F$61, 3, FALSE)</f>
        <v>Electronics</v>
      </c>
      <c r="M1467" t="str">
        <f>VLOOKUP(E1463, Sales_Reps!$A$2:$E$31, 3, FALSE)</f>
        <v>East</v>
      </c>
      <c r="N1467">
        <f>VLOOKUP(D1467, Products!$A$2:$F$61, 4, FALSE)</f>
        <v>861</v>
      </c>
    </row>
    <row r="1468" spans="1:14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 t="str">
        <f>VLOOKUP(D1468, Products!$A$2:$F$61, 3, FALSE)</f>
        <v>Beauty</v>
      </c>
      <c r="M1468" t="str">
        <f>VLOOKUP(E1464, Sales_Reps!$A$2:$E$31, 3, FALSE)</f>
        <v>East</v>
      </c>
      <c r="N1468">
        <f>VLOOKUP(D1468, Products!$A$2:$F$61, 4, FALSE)</f>
        <v>2617</v>
      </c>
    </row>
    <row r="1469" spans="1:14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 t="str">
        <f>VLOOKUP(D1469, Products!$A$2:$F$61, 3, FALSE)</f>
        <v>Beauty</v>
      </c>
      <c r="M1469" t="str">
        <f>VLOOKUP(E1465, Sales_Reps!$A$2:$E$31, 3, FALSE)</f>
        <v>South</v>
      </c>
      <c r="N1469">
        <f>VLOOKUP(D1469, Products!$A$2:$F$61, 4, FALSE)</f>
        <v>2237</v>
      </c>
    </row>
    <row r="1470" spans="1:14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 t="str">
        <f>VLOOKUP(D1470, Products!$A$2:$F$61, 3, FALSE)</f>
        <v>Apparel</v>
      </c>
      <c r="M1470" t="str">
        <f>VLOOKUP(E1466, Sales_Reps!$A$2:$E$31, 3, FALSE)</f>
        <v>South</v>
      </c>
      <c r="N1470">
        <f>VLOOKUP(D1470, Products!$A$2:$F$61, 4, FALSE)</f>
        <v>1748</v>
      </c>
    </row>
    <row r="1471" spans="1:14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 t="str">
        <f>VLOOKUP(D1471, Products!$A$2:$F$61, 3, FALSE)</f>
        <v>Electronics</v>
      </c>
      <c r="M1471" t="str">
        <f>VLOOKUP(E1467, Sales_Reps!$A$2:$E$31, 3, FALSE)</f>
        <v>North</v>
      </c>
      <c r="N1471">
        <f>VLOOKUP(D1471, Products!$A$2:$F$61, 4, FALSE)</f>
        <v>1665</v>
      </c>
    </row>
    <row r="1472" spans="1:14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 t="str">
        <f>VLOOKUP(D1472, Products!$A$2:$F$61, 3, FALSE)</f>
        <v>Home</v>
      </c>
      <c r="M1472" t="str">
        <f>VLOOKUP(E1468, Sales_Reps!$A$2:$E$31, 3, FALSE)</f>
        <v>East</v>
      </c>
      <c r="N1472">
        <f>VLOOKUP(D1472, Products!$A$2:$F$61, 4, FALSE)</f>
        <v>2135</v>
      </c>
    </row>
    <row r="1473" spans="1:14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 t="str">
        <f>VLOOKUP(D1473, Products!$A$2:$F$61, 3, FALSE)</f>
        <v>Sports</v>
      </c>
      <c r="M1473" t="str">
        <f>VLOOKUP(E1469, Sales_Reps!$A$2:$E$31, 3, FALSE)</f>
        <v>South</v>
      </c>
      <c r="N1473">
        <f>VLOOKUP(D1473, Products!$A$2:$F$61, 4, FALSE)</f>
        <v>1860</v>
      </c>
    </row>
    <row r="1474" spans="1:14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 t="str">
        <f>VLOOKUP(D1474, Products!$A$2:$F$61, 3, FALSE)</f>
        <v>Apparel</v>
      </c>
      <c r="M1474" t="str">
        <f>VLOOKUP(E1470, Sales_Reps!$A$2:$E$31, 3, FALSE)</f>
        <v>South</v>
      </c>
      <c r="N1474">
        <f>VLOOKUP(D1474, Products!$A$2:$F$61, 4, FALSE)</f>
        <v>1075</v>
      </c>
    </row>
    <row r="1475" spans="1:14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 t="str">
        <f>VLOOKUP(D1475, Products!$A$2:$F$61, 3, FALSE)</f>
        <v>Home</v>
      </c>
      <c r="M1475" t="str">
        <f>VLOOKUP(E1471, Sales_Reps!$A$2:$E$31, 3, FALSE)</f>
        <v>North</v>
      </c>
      <c r="N1475">
        <f>VLOOKUP(D1475, Products!$A$2:$F$61, 4, FALSE)</f>
        <v>329</v>
      </c>
    </row>
    <row r="1476" spans="1:14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 t="str">
        <f>VLOOKUP(D1476, Products!$A$2:$F$61, 3, FALSE)</f>
        <v>Apparel</v>
      </c>
      <c r="M1476" t="str">
        <f>VLOOKUP(E1472, Sales_Reps!$A$2:$E$31, 3, FALSE)</f>
        <v>East</v>
      </c>
      <c r="N1476">
        <f>VLOOKUP(D1476, Products!$A$2:$F$61, 4, FALSE)</f>
        <v>2611</v>
      </c>
    </row>
    <row r="1477" spans="1:14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 t="str">
        <f>VLOOKUP(D1477, Products!$A$2:$F$61, 3, FALSE)</f>
        <v>Sports</v>
      </c>
      <c r="M1477" t="str">
        <f>VLOOKUP(E1473, Sales_Reps!$A$2:$E$31, 3, FALSE)</f>
        <v>East</v>
      </c>
      <c r="N1477">
        <f>VLOOKUP(D1477, Products!$A$2:$F$61, 4, FALSE)</f>
        <v>2265</v>
      </c>
    </row>
    <row r="1478" spans="1:14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 t="str">
        <f>VLOOKUP(D1478, Products!$A$2:$F$61, 3, FALSE)</f>
        <v>Sports</v>
      </c>
      <c r="M1478" t="str">
        <f>VLOOKUP(E1474, Sales_Reps!$A$2:$E$31, 3, FALSE)</f>
        <v>South</v>
      </c>
      <c r="N1478">
        <f>VLOOKUP(D1478, Products!$A$2:$F$61, 4, FALSE)</f>
        <v>974</v>
      </c>
    </row>
    <row r="1479" spans="1:14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 t="str">
        <f>VLOOKUP(D1479, Products!$A$2:$F$61, 3, FALSE)</f>
        <v>Home</v>
      </c>
      <c r="M1479" t="str">
        <f>VLOOKUP(E1475, Sales_Reps!$A$2:$E$31, 3, FALSE)</f>
        <v>North</v>
      </c>
      <c r="N1479">
        <f>VLOOKUP(D1479, Products!$A$2:$F$61, 4, FALSE)</f>
        <v>2549</v>
      </c>
    </row>
    <row r="1480" spans="1:14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 t="str">
        <f>VLOOKUP(D1480, Products!$A$2:$F$61, 3, FALSE)</f>
        <v>Beauty</v>
      </c>
      <c r="M1480" t="str">
        <f>VLOOKUP(E1476, Sales_Reps!$A$2:$E$31, 3, FALSE)</f>
        <v>West</v>
      </c>
      <c r="N1480">
        <f>VLOOKUP(D1480, Products!$A$2:$F$61, 4, FALSE)</f>
        <v>647</v>
      </c>
    </row>
    <row r="1481" spans="1:14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 t="str">
        <f>VLOOKUP(D1481, Products!$A$2:$F$61, 3, FALSE)</f>
        <v>Electronics</v>
      </c>
      <c r="M1481" t="str">
        <f>VLOOKUP(E1477, Sales_Reps!$A$2:$E$31, 3, FALSE)</f>
        <v>East</v>
      </c>
      <c r="N1481">
        <f>VLOOKUP(D1481, Products!$A$2:$F$61, 4, FALSE)</f>
        <v>2405</v>
      </c>
    </row>
    <row r="1482" spans="1:14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 t="str">
        <f>VLOOKUP(D1482, Products!$A$2:$F$61, 3, FALSE)</f>
        <v>Sports</v>
      </c>
      <c r="M1482" t="str">
        <f>VLOOKUP(E1478, Sales_Reps!$A$2:$E$31, 3, FALSE)</f>
        <v>North</v>
      </c>
      <c r="N1482">
        <f>VLOOKUP(D1482, Products!$A$2:$F$61, 4, FALSE)</f>
        <v>2028</v>
      </c>
    </row>
    <row r="1483" spans="1:14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 t="str">
        <f>VLOOKUP(D1483, Products!$A$2:$F$61, 3, FALSE)</f>
        <v>Beauty</v>
      </c>
      <c r="M1483" t="str">
        <f>VLOOKUP(E1479, Sales_Reps!$A$2:$E$31, 3, FALSE)</f>
        <v>West</v>
      </c>
      <c r="N1483">
        <f>VLOOKUP(D1483, Products!$A$2:$F$61, 4, FALSE)</f>
        <v>2768</v>
      </c>
    </row>
    <row r="1484" spans="1:14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 t="str">
        <f>VLOOKUP(D1484, Products!$A$2:$F$61, 3, FALSE)</f>
        <v>Apparel</v>
      </c>
      <c r="M1484" t="str">
        <f>VLOOKUP(E1480, Sales_Reps!$A$2:$E$31, 3, FALSE)</f>
        <v>South</v>
      </c>
      <c r="N1484">
        <f>VLOOKUP(D1484, Products!$A$2:$F$61, 4, FALSE)</f>
        <v>1075</v>
      </c>
    </row>
    <row r="1485" spans="1:14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 t="str">
        <f>VLOOKUP(D1485, Products!$A$2:$F$61, 3, FALSE)</f>
        <v>Electronics</v>
      </c>
      <c r="M1485" t="str">
        <f>VLOOKUP(E1481, Sales_Reps!$A$2:$E$31, 3, FALSE)</f>
        <v>North</v>
      </c>
      <c r="N1485">
        <f>VLOOKUP(D1485, Products!$A$2:$F$61, 4, FALSE)</f>
        <v>2865</v>
      </c>
    </row>
    <row r="1486" spans="1:14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 t="str">
        <f>VLOOKUP(D1486, Products!$A$2:$F$61, 3, FALSE)</f>
        <v>Sports</v>
      </c>
      <c r="M1486" t="str">
        <f>VLOOKUP(E1482, Sales_Reps!$A$2:$E$31, 3, FALSE)</f>
        <v>South</v>
      </c>
      <c r="N1486">
        <f>VLOOKUP(D1486, Products!$A$2:$F$61, 4, FALSE)</f>
        <v>302</v>
      </c>
    </row>
    <row r="1487" spans="1:14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 t="str">
        <f>VLOOKUP(D1487, Products!$A$2:$F$61, 3, FALSE)</f>
        <v>Electronics</v>
      </c>
      <c r="M1487" t="str">
        <f>VLOOKUP(E1483, Sales_Reps!$A$2:$E$31, 3, FALSE)</f>
        <v>North</v>
      </c>
      <c r="N1487">
        <f>VLOOKUP(D1487, Products!$A$2:$F$61, 4, FALSE)</f>
        <v>2405</v>
      </c>
    </row>
    <row r="1488" spans="1:14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 t="str">
        <f>VLOOKUP(D1488, Products!$A$2:$F$61, 3, FALSE)</f>
        <v>Home</v>
      </c>
      <c r="M1488" t="str">
        <f>VLOOKUP(E1484, Sales_Reps!$A$2:$E$31, 3, FALSE)</f>
        <v>North</v>
      </c>
      <c r="N1488">
        <f>VLOOKUP(D1488, Products!$A$2:$F$61, 4, FALSE)</f>
        <v>464</v>
      </c>
    </row>
    <row r="1489" spans="1:14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 t="str">
        <f>VLOOKUP(D1489, Products!$A$2:$F$61, 3, FALSE)</f>
        <v>Sports</v>
      </c>
      <c r="M1489" t="str">
        <f>VLOOKUP(E1485, Sales_Reps!$A$2:$E$31, 3, FALSE)</f>
        <v>East</v>
      </c>
      <c r="N1489">
        <f>VLOOKUP(D1489, Products!$A$2:$F$61, 4, FALSE)</f>
        <v>516</v>
      </c>
    </row>
    <row r="1490" spans="1:14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 t="str">
        <f>VLOOKUP(D1490, Products!$A$2:$F$61, 3, FALSE)</f>
        <v>Electronics</v>
      </c>
      <c r="M1490" t="str">
        <f>VLOOKUP(E1486, Sales_Reps!$A$2:$E$31, 3, FALSE)</f>
        <v>West</v>
      </c>
      <c r="N1490">
        <f>VLOOKUP(D1490, Products!$A$2:$F$61, 4, FALSE)</f>
        <v>1559</v>
      </c>
    </row>
    <row r="1491" spans="1:14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 t="str">
        <f>VLOOKUP(D1491, Products!$A$2:$F$61, 3, FALSE)</f>
        <v>Electronics</v>
      </c>
      <c r="M1491" t="str">
        <f>VLOOKUP(E1487, Sales_Reps!$A$2:$E$31, 3, FALSE)</f>
        <v>West</v>
      </c>
      <c r="N1491">
        <f>VLOOKUP(D1491, Products!$A$2:$F$61, 4, FALSE)</f>
        <v>1259</v>
      </c>
    </row>
    <row r="1492" spans="1:14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 t="str">
        <f>VLOOKUP(D1492, Products!$A$2:$F$61, 3, FALSE)</f>
        <v>Electronics</v>
      </c>
      <c r="M1492" t="str">
        <f>VLOOKUP(E1488, Sales_Reps!$A$2:$E$31, 3, FALSE)</f>
        <v>South</v>
      </c>
      <c r="N1492">
        <f>VLOOKUP(D1492, Products!$A$2:$F$61, 4, FALSE)</f>
        <v>861</v>
      </c>
    </row>
    <row r="1493" spans="1:14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 t="str">
        <f>VLOOKUP(D1493, Products!$A$2:$F$61, 3, FALSE)</f>
        <v>Beauty</v>
      </c>
      <c r="M1493" t="str">
        <f>VLOOKUP(E1489, Sales_Reps!$A$2:$E$31, 3, FALSE)</f>
        <v>South</v>
      </c>
      <c r="N1493">
        <f>VLOOKUP(D1493, Products!$A$2:$F$61, 4, FALSE)</f>
        <v>2768</v>
      </c>
    </row>
    <row r="1494" spans="1:14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 t="str">
        <f>VLOOKUP(D1494, Products!$A$2:$F$61, 3, FALSE)</f>
        <v>Sports</v>
      </c>
      <c r="M1494" t="str">
        <f>VLOOKUP(E1490, Sales_Reps!$A$2:$E$31, 3, FALSE)</f>
        <v>South</v>
      </c>
      <c r="N1494">
        <f>VLOOKUP(D1494, Products!$A$2:$F$61, 4, FALSE)</f>
        <v>147</v>
      </c>
    </row>
    <row r="1495" spans="1:14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 t="str">
        <f>VLOOKUP(D1495, Products!$A$2:$F$61, 3, FALSE)</f>
        <v>Beauty</v>
      </c>
      <c r="M1495" t="str">
        <f>VLOOKUP(E1491, Sales_Reps!$A$2:$E$31, 3, FALSE)</f>
        <v>South</v>
      </c>
      <c r="N1495">
        <f>VLOOKUP(D1495, Products!$A$2:$F$61, 4, FALSE)</f>
        <v>1626</v>
      </c>
    </row>
    <row r="1496" spans="1:14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 t="str">
        <f>VLOOKUP(D1496, Products!$A$2:$F$61, 3, FALSE)</f>
        <v>Beauty</v>
      </c>
      <c r="M1496" t="str">
        <f>VLOOKUP(E1492, Sales_Reps!$A$2:$E$31, 3, FALSE)</f>
        <v>East</v>
      </c>
      <c r="N1496">
        <f>VLOOKUP(D1496, Products!$A$2:$F$61, 4, FALSE)</f>
        <v>2768</v>
      </c>
    </row>
    <row r="1497" spans="1:14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 t="str">
        <f>VLOOKUP(D1497, Products!$A$2:$F$61, 3, FALSE)</f>
        <v>Sports</v>
      </c>
      <c r="M1497" t="str">
        <f>VLOOKUP(E1493, Sales_Reps!$A$2:$E$31, 3, FALSE)</f>
        <v>East</v>
      </c>
      <c r="N1497">
        <f>VLOOKUP(D1497, Products!$A$2:$F$61, 4, FALSE)</f>
        <v>974</v>
      </c>
    </row>
    <row r="1498" spans="1:14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 t="str">
        <f>VLOOKUP(D1498, Products!$A$2:$F$61, 3, FALSE)</f>
        <v>Beauty</v>
      </c>
      <c r="M1498" t="str">
        <f>VLOOKUP(E1494, Sales_Reps!$A$2:$E$31, 3, FALSE)</f>
        <v>North</v>
      </c>
      <c r="N1498">
        <f>VLOOKUP(D1498, Products!$A$2:$F$61, 4, FALSE)</f>
        <v>2617</v>
      </c>
    </row>
    <row r="1499" spans="1:14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 t="str">
        <f>VLOOKUP(D1499, Products!$A$2:$F$61, 3, FALSE)</f>
        <v>Grocery</v>
      </c>
      <c r="M1499" t="str">
        <f>VLOOKUP(E1495, Sales_Reps!$A$2:$E$31, 3, FALSE)</f>
        <v>East</v>
      </c>
      <c r="N1499">
        <f>VLOOKUP(D1499, Products!$A$2:$F$61, 4, FALSE)</f>
        <v>1182</v>
      </c>
    </row>
    <row r="1500" spans="1:14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 t="str">
        <f>VLOOKUP(D1500, Products!$A$2:$F$61, 3, FALSE)</f>
        <v>Beauty</v>
      </c>
      <c r="M1500" t="str">
        <f>VLOOKUP(E1496, Sales_Reps!$A$2:$E$31, 3, FALSE)</f>
        <v>East</v>
      </c>
      <c r="N1500">
        <f>VLOOKUP(D1500, Products!$A$2:$F$61, 4, FALSE)</f>
        <v>647</v>
      </c>
    </row>
    <row r="1501" spans="1:14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 t="str">
        <f>VLOOKUP(D1501, Products!$A$2:$F$61, 3, FALSE)</f>
        <v>Electronics</v>
      </c>
      <c r="M1501" t="str">
        <f>VLOOKUP(E1497, Sales_Reps!$A$2:$E$31, 3, FALSE)</f>
        <v>West</v>
      </c>
      <c r="N1501">
        <f>VLOOKUP(D1501, Products!$A$2:$F$61, 4, FALSE)</f>
        <v>1559</v>
      </c>
    </row>
    <row r="1502" spans="1:14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 t="str">
        <f>VLOOKUP(D1502, Products!$A$2:$F$61, 3, FALSE)</f>
        <v>Home</v>
      </c>
      <c r="M1502" t="str">
        <f>VLOOKUP(E1498, Sales_Reps!$A$2:$E$31, 3, FALSE)</f>
        <v>North</v>
      </c>
      <c r="N1502">
        <f>VLOOKUP(D1502, Products!$A$2:$F$61, 4, FALSE)</f>
        <v>288</v>
      </c>
    </row>
    <row r="1503" spans="1:14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 t="str">
        <f>VLOOKUP(D1503, Products!$A$2:$F$61, 3, FALSE)</f>
        <v>Sports</v>
      </c>
      <c r="M1503" t="str">
        <f>VLOOKUP(E1499, Sales_Reps!$A$2:$E$31, 3, FALSE)</f>
        <v>East</v>
      </c>
      <c r="N1503">
        <f>VLOOKUP(D1503, Products!$A$2:$F$61, 4, FALSE)</f>
        <v>147</v>
      </c>
    </row>
    <row r="1504" spans="1:14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 t="str">
        <f>VLOOKUP(D1504, Products!$A$2:$F$61, 3, FALSE)</f>
        <v>Electronics</v>
      </c>
      <c r="M1504" t="str">
        <f>VLOOKUP(E1500, Sales_Reps!$A$2:$E$31, 3, FALSE)</f>
        <v>North</v>
      </c>
      <c r="N1504">
        <f>VLOOKUP(D1504, Products!$A$2:$F$61, 4, FALSE)</f>
        <v>861</v>
      </c>
    </row>
    <row r="1505" spans="1:14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 t="str">
        <f>VLOOKUP(D1505, Products!$A$2:$F$61, 3, FALSE)</f>
        <v>Sports</v>
      </c>
      <c r="M1505" t="str">
        <f>VLOOKUP(E1501, Sales_Reps!$A$2:$E$31, 3, FALSE)</f>
        <v>West</v>
      </c>
      <c r="N1505">
        <f>VLOOKUP(D1505, Products!$A$2:$F$61, 4, FALSE)</f>
        <v>302</v>
      </c>
    </row>
    <row r="1506" spans="1:14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 t="str">
        <f>VLOOKUP(D1506, Products!$A$2:$F$61, 3, FALSE)</f>
        <v>Apparel</v>
      </c>
      <c r="M1506" t="str">
        <f>VLOOKUP(E1502, Sales_Reps!$A$2:$E$31, 3, FALSE)</f>
        <v>East</v>
      </c>
      <c r="N1506">
        <f>VLOOKUP(D1506, Products!$A$2:$F$61, 4, FALSE)</f>
        <v>2629</v>
      </c>
    </row>
    <row r="1507" spans="1:14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 t="str">
        <f>VLOOKUP(D1507, Products!$A$2:$F$61, 3, FALSE)</f>
        <v>Beauty</v>
      </c>
      <c r="M1507" t="str">
        <f>VLOOKUP(E1503, Sales_Reps!$A$2:$E$31, 3, FALSE)</f>
        <v>West</v>
      </c>
      <c r="N1507">
        <f>VLOOKUP(D1507, Products!$A$2:$F$61, 4, FALSE)</f>
        <v>2768</v>
      </c>
    </row>
    <row r="1508" spans="1:14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 t="str">
        <f>VLOOKUP(D1508, Products!$A$2:$F$61, 3, FALSE)</f>
        <v>Electronics</v>
      </c>
      <c r="M1508" t="str">
        <f>VLOOKUP(E1504, Sales_Reps!$A$2:$E$31, 3, FALSE)</f>
        <v>South</v>
      </c>
      <c r="N1508">
        <f>VLOOKUP(D1508, Products!$A$2:$F$61, 4, FALSE)</f>
        <v>1665</v>
      </c>
    </row>
    <row r="1509" spans="1:14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 t="str">
        <f>VLOOKUP(D1509, Products!$A$2:$F$61, 3, FALSE)</f>
        <v>Sports</v>
      </c>
      <c r="M1509" t="str">
        <f>VLOOKUP(E1505, Sales_Reps!$A$2:$E$31, 3, FALSE)</f>
        <v>East</v>
      </c>
      <c r="N1509">
        <f>VLOOKUP(D1509, Products!$A$2:$F$61, 4, FALSE)</f>
        <v>2467</v>
      </c>
    </row>
    <row r="1510" spans="1:14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 t="str">
        <f>VLOOKUP(D1510, Products!$A$2:$F$61, 3, FALSE)</f>
        <v>Home</v>
      </c>
      <c r="M1510" t="str">
        <f>VLOOKUP(E1506, Sales_Reps!$A$2:$E$31, 3, FALSE)</f>
        <v>North</v>
      </c>
      <c r="N1510">
        <f>VLOOKUP(D1510, Products!$A$2:$F$61, 4, FALSE)</f>
        <v>519</v>
      </c>
    </row>
    <row r="1511" spans="1:14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 t="str">
        <f>VLOOKUP(D1511, Products!$A$2:$F$61, 3, FALSE)</f>
        <v>Beauty</v>
      </c>
      <c r="M1511" t="str">
        <f>VLOOKUP(E1507, Sales_Reps!$A$2:$E$31, 3, FALSE)</f>
        <v>South</v>
      </c>
      <c r="N1511">
        <f>VLOOKUP(D1511, Products!$A$2:$F$61, 4, FALSE)</f>
        <v>647</v>
      </c>
    </row>
    <row r="1512" spans="1:14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 t="str">
        <f>VLOOKUP(D1512, Products!$A$2:$F$61, 3, FALSE)</f>
        <v>Apparel</v>
      </c>
      <c r="M1512" t="str">
        <f>VLOOKUP(E1508, Sales_Reps!$A$2:$E$31, 3, FALSE)</f>
        <v>South</v>
      </c>
      <c r="N1512">
        <f>VLOOKUP(D1512, Products!$A$2:$F$61, 4, FALSE)</f>
        <v>1962</v>
      </c>
    </row>
    <row r="1513" spans="1:14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 t="str">
        <f>VLOOKUP(D1513, Products!$A$2:$F$61, 3, FALSE)</f>
        <v>Home</v>
      </c>
      <c r="M1513" t="str">
        <f>VLOOKUP(E1509, Sales_Reps!$A$2:$E$31, 3, FALSE)</f>
        <v>West</v>
      </c>
      <c r="N1513">
        <f>VLOOKUP(D1513, Products!$A$2:$F$61, 4, FALSE)</f>
        <v>2459</v>
      </c>
    </row>
    <row r="1514" spans="1:14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 t="str">
        <f>VLOOKUP(D1514, Products!$A$2:$F$61, 3, FALSE)</f>
        <v>Apparel</v>
      </c>
      <c r="M1514" t="str">
        <f>VLOOKUP(E1510, Sales_Reps!$A$2:$E$31, 3, FALSE)</f>
        <v>North</v>
      </c>
      <c r="N1514">
        <f>VLOOKUP(D1514, Products!$A$2:$F$61, 4, FALSE)</f>
        <v>396</v>
      </c>
    </row>
    <row r="1515" spans="1:14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 t="str">
        <f>VLOOKUP(D1515, Products!$A$2:$F$61, 3, FALSE)</f>
        <v>Apparel</v>
      </c>
      <c r="M1515" t="str">
        <f>VLOOKUP(E1511, Sales_Reps!$A$2:$E$31, 3, FALSE)</f>
        <v>West</v>
      </c>
      <c r="N1515">
        <f>VLOOKUP(D1515, Products!$A$2:$F$61, 4, FALSE)</f>
        <v>1173</v>
      </c>
    </row>
    <row r="1516" spans="1:14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 t="str">
        <f>VLOOKUP(D1516, Products!$A$2:$F$61, 3, FALSE)</f>
        <v>Sports</v>
      </c>
      <c r="M1516" t="str">
        <f>VLOOKUP(E1512, Sales_Reps!$A$2:$E$31, 3, FALSE)</f>
        <v>South</v>
      </c>
      <c r="N1516">
        <f>VLOOKUP(D1516, Products!$A$2:$F$61, 4, FALSE)</f>
        <v>516</v>
      </c>
    </row>
    <row r="1517" spans="1:14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 t="str">
        <f>VLOOKUP(D1517, Products!$A$2:$F$61, 3, FALSE)</f>
        <v>Home</v>
      </c>
      <c r="M1517" t="str">
        <f>VLOOKUP(E1513, Sales_Reps!$A$2:$E$31, 3, FALSE)</f>
        <v>North</v>
      </c>
      <c r="N1517">
        <f>VLOOKUP(D1517, Products!$A$2:$F$61, 4, FALSE)</f>
        <v>519</v>
      </c>
    </row>
    <row r="1518" spans="1:14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 t="str">
        <f>VLOOKUP(D1518, Products!$A$2:$F$61, 3, FALSE)</f>
        <v>Sports</v>
      </c>
      <c r="M1518" t="str">
        <f>VLOOKUP(E1514, Sales_Reps!$A$2:$E$31, 3, FALSE)</f>
        <v>North</v>
      </c>
      <c r="N1518">
        <f>VLOOKUP(D1518, Products!$A$2:$F$61, 4, FALSE)</f>
        <v>302</v>
      </c>
    </row>
    <row r="1519" spans="1:14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 t="str">
        <f>VLOOKUP(D1519, Products!$A$2:$F$61, 3, FALSE)</f>
        <v>Electronics</v>
      </c>
      <c r="M1519" t="str">
        <f>VLOOKUP(E1515, Sales_Reps!$A$2:$E$31, 3, FALSE)</f>
        <v>North</v>
      </c>
      <c r="N1519">
        <f>VLOOKUP(D1519, Products!$A$2:$F$61, 4, FALSE)</f>
        <v>2865</v>
      </c>
    </row>
    <row r="1520" spans="1:14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 t="str">
        <f>VLOOKUP(D1520, Products!$A$2:$F$61, 3, FALSE)</f>
        <v>Beauty</v>
      </c>
      <c r="M1520" t="str">
        <f>VLOOKUP(E1516, Sales_Reps!$A$2:$E$31, 3, FALSE)</f>
        <v>North</v>
      </c>
      <c r="N1520">
        <f>VLOOKUP(D1520, Products!$A$2:$F$61, 4, FALSE)</f>
        <v>1222</v>
      </c>
    </row>
    <row r="1521" spans="1:14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 t="str">
        <f>VLOOKUP(D1521, Products!$A$2:$F$61, 3, FALSE)</f>
        <v>Beauty</v>
      </c>
      <c r="M1521" t="str">
        <f>VLOOKUP(E1517, Sales_Reps!$A$2:$E$31, 3, FALSE)</f>
        <v>North</v>
      </c>
      <c r="N1521">
        <f>VLOOKUP(D1521, Products!$A$2:$F$61, 4, FALSE)</f>
        <v>1728</v>
      </c>
    </row>
    <row r="1522" spans="1:14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 t="str">
        <f>VLOOKUP(D1522, Products!$A$2:$F$61, 3, FALSE)</f>
        <v>Electronics</v>
      </c>
      <c r="M1522" t="str">
        <f>VLOOKUP(E1518, Sales_Reps!$A$2:$E$31, 3, FALSE)</f>
        <v>West</v>
      </c>
      <c r="N1522">
        <f>VLOOKUP(D1522, Products!$A$2:$F$61, 4, FALSE)</f>
        <v>2865</v>
      </c>
    </row>
    <row r="1523" spans="1:14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 t="str">
        <f>VLOOKUP(D1523, Products!$A$2:$F$61, 3, FALSE)</f>
        <v>Grocery</v>
      </c>
      <c r="M1523" t="str">
        <f>VLOOKUP(E1519, Sales_Reps!$A$2:$E$31, 3, FALSE)</f>
        <v>East</v>
      </c>
      <c r="N1523">
        <f>VLOOKUP(D1523, Products!$A$2:$F$61, 4, FALSE)</f>
        <v>2436</v>
      </c>
    </row>
    <row r="1524" spans="1:14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 t="str">
        <f>VLOOKUP(D1524, Products!$A$2:$F$61, 3, FALSE)</f>
        <v>Apparel</v>
      </c>
      <c r="M1524" t="str">
        <f>VLOOKUP(E1520, Sales_Reps!$A$2:$E$31, 3, FALSE)</f>
        <v>South</v>
      </c>
      <c r="N1524">
        <f>VLOOKUP(D1524, Products!$A$2:$F$61, 4, FALSE)</f>
        <v>391</v>
      </c>
    </row>
    <row r="1525" spans="1:14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 t="str">
        <f>VLOOKUP(D1525, Products!$A$2:$F$61, 3, FALSE)</f>
        <v>Beauty</v>
      </c>
      <c r="M1525" t="str">
        <f>VLOOKUP(E1521, Sales_Reps!$A$2:$E$31, 3, FALSE)</f>
        <v>North</v>
      </c>
      <c r="N1525">
        <f>VLOOKUP(D1525, Products!$A$2:$F$61, 4, FALSE)</f>
        <v>1222</v>
      </c>
    </row>
    <row r="1526" spans="1:14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 t="str">
        <f>VLOOKUP(D1526, Products!$A$2:$F$61, 3, FALSE)</f>
        <v>Grocery</v>
      </c>
      <c r="M1526" t="str">
        <f>VLOOKUP(E1522, Sales_Reps!$A$2:$E$31, 3, FALSE)</f>
        <v>East</v>
      </c>
      <c r="N1526">
        <f>VLOOKUP(D1526, Products!$A$2:$F$61, 4, FALSE)</f>
        <v>2436</v>
      </c>
    </row>
    <row r="1527" spans="1:14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 t="str">
        <f>VLOOKUP(D1527, Products!$A$2:$F$61, 3, FALSE)</f>
        <v>Grocery</v>
      </c>
      <c r="M1527" t="str">
        <f>VLOOKUP(E1523, Sales_Reps!$A$2:$E$31, 3, FALSE)</f>
        <v>East</v>
      </c>
      <c r="N1527">
        <f>VLOOKUP(D1527, Products!$A$2:$F$61, 4, FALSE)</f>
        <v>1010</v>
      </c>
    </row>
    <row r="1528" spans="1:14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 t="str">
        <f>VLOOKUP(D1528, Products!$A$2:$F$61, 3, FALSE)</f>
        <v>Sports</v>
      </c>
      <c r="M1528" t="str">
        <f>VLOOKUP(E1524, Sales_Reps!$A$2:$E$31, 3, FALSE)</f>
        <v>South</v>
      </c>
      <c r="N1528">
        <f>VLOOKUP(D1528, Products!$A$2:$F$61, 4, FALSE)</f>
        <v>2827</v>
      </c>
    </row>
    <row r="1529" spans="1:14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 t="str">
        <f>VLOOKUP(D1529, Products!$A$2:$F$61, 3, FALSE)</f>
        <v>Beauty</v>
      </c>
      <c r="M1529" t="str">
        <f>VLOOKUP(E1525, Sales_Reps!$A$2:$E$31, 3, FALSE)</f>
        <v>East</v>
      </c>
      <c r="N1529">
        <f>VLOOKUP(D1529, Products!$A$2:$F$61, 4, FALSE)</f>
        <v>1219</v>
      </c>
    </row>
    <row r="1530" spans="1:14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 t="str">
        <f>VLOOKUP(D1530, Products!$A$2:$F$61, 3, FALSE)</f>
        <v>Home</v>
      </c>
      <c r="M1530" t="str">
        <f>VLOOKUP(E1526, Sales_Reps!$A$2:$E$31, 3, FALSE)</f>
        <v>East</v>
      </c>
      <c r="N1530">
        <f>VLOOKUP(D1530, Products!$A$2:$F$61, 4, FALSE)</f>
        <v>1143</v>
      </c>
    </row>
    <row r="1531" spans="1:14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 t="str">
        <f>VLOOKUP(D1531, Products!$A$2:$F$61, 3, FALSE)</f>
        <v>Electronics</v>
      </c>
      <c r="M1531" t="str">
        <f>VLOOKUP(E1527, Sales_Reps!$A$2:$E$31, 3, FALSE)</f>
        <v>West</v>
      </c>
      <c r="N1531">
        <f>VLOOKUP(D1531, Products!$A$2:$F$61, 4, FALSE)</f>
        <v>2865</v>
      </c>
    </row>
    <row r="1532" spans="1:14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 t="str">
        <f>VLOOKUP(D1532, Products!$A$2:$F$61, 3, FALSE)</f>
        <v>Apparel</v>
      </c>
      <c r="M1532" t="str">
        <f>VLOOKUP(E1528, Sales_Reps!$A$2:$E$31, 3, FALSE)</f>
        <v>South</v>
      </c>
      <c r="N1532">
        <f>VLOOKUP(D1532, Products!$A$2:$F$61, 4, FALSE)</f>
        <v>391</v>
      </c>
    </row>
    <row r="1533" spans="1:14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 t="str">
        <f>VLOOKUP(D1533, Products!$A$2:$F$61, 3, FALSE)</f>
        <v>Electronics</v>
      </c>
      <c r="M1533" t="str">
        <f>VLOOKUP(E1529, Sales_Reps!$A$2:$E$31, 3, FALSE)</f>
        <v>North</v>
      </c>
      <c r="N1533">
        <f>VLOOKUP(D1533, Products!$A$2:$F$61, 4, FALSE)</f>
        <v>1559</v>
      </c>
    </row>
    <row r="1534" spans="1:14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 t="str">
        <f>VLOOKUP(D1534, Products!$A$2:$F$61, 3, FALSE)</f>
        <v>Grocery</v>
      </c>
      <c r="M1534" t="str">
        <f>VLOOKUP(E1530, Sales_Reps!$A$2:$E$31, 3, FALSE)</f>
        <v>West</v>
      </c>
      <c r="N1534">
        <f>VLOOKUP(D1534, Products!$A$2:$F$61, 4, FALSE)</f>
        <v>434</v>
      </c>
    </row>
    <row r="1535" spans="1:14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 t="str">
        <f>VLOOKUP(D1535, Products!$A$2:$F$61, 3, FALSE)</f>
        <v>Beauty</v>
      </c>
      <c r="M1535" t="str">
        <f>VLOOKUP(E1531, Sales_Reps!$A$2:$E$31, 3, FALSE)</f>
        <v>West</v>
      </c>
      <c r="N1535">
        <f>VLOOKUP(D1535, Products!$A$2:$F$61, 4, FALSE)</f>
        <v>2768</v>
      </c>
    </row>
    <row r="1536" spans="1:14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 t="str">
        <f>VLOOKUP(D1536, Products!$A$2:$F$61, 3, FALSE)</f>
        <v>Grocery</v>
      </c>
      <c r="M1536" t="str">
        <f>VLOOKUP(E1532, Sales_Reps!$A$2:$E$31, 3, FALSE)</f>
        <v>South</v>
      </c>
      <c r="N1536">
        <f>VLOOKUP(D1536, Products!$A$2:$F$61, 4, FALSE)</f>
        <v>1412</v>
      </c>
    </row>
    <row r="1537" spans="1:14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 t="str">
        <f>VLOOKUP(D1537, Products!$A$2:$F$61, 3, FALSE)</f>
        <v>Beauty</v>
      </c>
      <c r="M1537" t="str">
        <f>VLOOKUP(E1533, Sales_Reps!$A$2:$E$31, 3, FALSE)</f>
        <v>West</v>
      </c>
      <c r="N1537">
        <f>VLOOKUP(D1537, Products!$A$2:$F$61, 4, FALSE)</f>
        <v>2420</v>
      </c>
    </row>
    <row r="1538" spans="1:14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 t="str">
        <f>VLOOKUP(D1538, Products!$A$2:$F$61, 3, FALSE)</f>
        <v>Grocery</v>
      </c>
      <c r="M1538" t="str">
        <f>VLOOKUP(E1534, Sales_Reps!$A$2:$E$31, 3, FALSE)</f>
        <v>East</v>
      </c>
      <c r="N1538">
        <f>VLOOKUP(D1538, Products!$A$2:$F$61, 4, FALSE)</f>
        <v>1412</v>
      </c>
    </row>
    <row r="1539" spans="1:14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 t="str">
        <f>VLOOKUP(D1539, Products!$A$2:$F$61, 3, FALSE)</f>
        <v>Grocery</v>
      </c>
      <c r="M1539" t="str">
        <f>VLOOKUP(E1535, Sales_Reps!$A$2:$E$31, 3, FALSE)</f>
        <v>West</v>
      </c>
      <c r="N1539">
        <f>VLOOKUP(D1539, Products!$A$2:$F$61, 4, FALSE)</f>
        <v>1010</v>
      </c>
    </row>
    <row r="1540" spans="1:14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 t="str">
        <f>VLOOKUP(D1540, Products!$A$2:$F$61, 3, FALSE)</f>
        <v>Home</v>
      </c>
      <c r="M1540" t="str">
        <f>VLOOKUP(E1536, Sales_Reps!$A$2:$E$31, 3, FALSE)</f>
        <v>East</v>
      </c>
      <c r="N1540">
        <f>VLOOKUP(D1540, Products!$A$2:$F$61, 4, FALSE)</f>
        <v>1143</v>
      </c>
    </row>
    <row r="1541" spans="1:14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 t="str">
        <f>VLOOKUP(D1541, Products!$A$2:$F$61, 3, FALSE)</f>
        <v>Beauty</v>
      </c>
      <c r="M1541" t="str">
        <f>VLOOKUP(E1537, Sales_Reps!$A$2:$E$31, 3, FALSE)</f>
        <v>West</v>
      </c>
      <c r="N1541">
        <f>VLOOKUP(D1541, Products!$A$2:$F$61, 4, FALSE)</f>
        <v>1728</v>
      </c>
    </row>
    <row r="1542" spans="1:14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 t="str">
        <f>VLOOKUP(D1542, Products!$A$2:$F$61, 3, FALSE)</f>
        <v>Apparel</v>
      </c>
      <c r="M1542" t="str">
        <f>VLOOKUP(E1538, Sales_Reps!$A$2:$E$31, 3, FALSE)</f>
        <v>South</v>
      </c>
      <c r="N1542">
        <f>VLOOKUP(D1542, Products!$A$2:$F$61, 4, FALSE)</f>
        <v>2611</v>
      </c>
    </row>
    <row r="1543" spans="1:14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 t="str">
        <f>VLOOKUP(D1543, Products!$A$2:$F$61, 3, FALSE)</f>
        <v>Sports</v>
      </c>
      <c r="M1543" t="str">
        <f>VLOOKUP(E1539, Sales_Reps!$A$2:$E$31, 3, FALSE)</f>
        <v>West</v>
      </c>
      <c r="N1543">
        <f>VLOOKUP(D1543, Products!$A$2:$F$61, 4, FALSE)</f>
        <v>2467</v>
      </c>
    </row>
    <row r="1544" spans="1:14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 t="str">
        <f>VLOOKUP(D1544, Products!$A$2:$F$61, 3, FALSE)</f>
        <v>Beauty</v>
      </c>
      <c r="M1544" t="str">
        <f>VLOOKUP(E1540, Sales_Reps!$A$2:$E$31, 3, FALSE)</f>
        <v>South</v>
      </c>
      <c r="N1544">
        <f>VLOOKUP(D1544, Products!$A$2:$F$61, 4, FALSE)</f>
        <v>2420</v>
      </c>
    </row>
    <row r="1545" spans="1:14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 t="str">
        <f>VLOOKUP(D1545, Products!$A$2:$F$61, 3, FALSE)</f>
        <v>Beauty</v>
      </c>
      <c r="M1545" t="str">
        <f>VLOOKUP(E1541, Sales_Reps!$A$2:$E$31, 3, FALSE)</f>
        <v>East</v>
      </c>
      <c r="N1545">
        <f>VLOOKUP(D1545, Products!$A$2:$F$61, 4, FALSE)</f>
        <v>1219</v>
      </c>
    </row>
    <row r="1546" spans="1:14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 t="str">
        <f>VLOOKUP(D1546, Products!$A$2:$F$61, 3, FALSE)</f>
        <v>Sports</v>
      </c>
      <c r="M1546" t="str">
        <f>VLOOKUP(E1542, Sales_Reps!$A$2:$E$31, 3, FALSE)</f>
        <v>North</v>
      </c>
      <c r="N1546">
        <f>VLOOKUP(D1546, Products!$A$2:$F$61, 4, FALSE)</f>
        <v>705</v>
      </c>
    </row>
    <row r="1547" spans="1:14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 t="str">
        <f>VLOOKUP(D1547, Products!$A$2:$F$61, 3, FALSE)</f>
        <v>Home</v>
      </c>
      <c r="M1547" t="str">
        <f>VLOOKUP(E1543, Sales_Reps!$A$2:$E$31, 3, FALSE)</f>
        <v>East</v>
      </c>
      <c r="N1547">
        <f>VLOOKUP(D1547, Products!$A$2:$F$61, 4, FALSE)</f>
        <v>1850</v>
      </c>
    </row>
    <row r="1548" spans="1:14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 t="str">
        <f>VLOOKUP(D1548, Products!$A$2:$F$61, 3, FALSE)</f>
        <v>Grocery</v>
      </c>
      <c r="M1548" t="str">
        <f>VLOOKUP(E1544, Sales_Reps!$A$2:$E$31, 3, FALSE)</f>
        <v>North</v>
      </c>
      <c r="N1548">
        <f>VLOOKUP(D1548, Products!$A$2:$F$61, 4, FALSE)</f>
        <v>2214</v>
      </c>
    </row>
    <row r="1549" spans="1:14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 t="str">
        <f>VLOOKUP(D1549, Products!$A$2:$F$61, 3, FALSE)</f>
        <v>Electronics</v>
      </c>
      <c r="M1549" t="str">
        <f>VLOOKUP(E1545, Sales_Reps!$A$2:$E$31, 3, FALSE)</f>
        <v>East</v>
      </c>
      <c r="N1549">
        <f>VLOOKUP(D1549, Products!$A$2:$F$61, 4, FALSE)</f>
        <v>1259</v>
      </c>
    </row>
    <row r="1550" spans="1:14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 t="str">
        <f>VLOOKUP(D1550, Products!$A$2:$F$61, 3, FALSE)</f>
        <v>Beauty</v>
      </c>
      <c r="M1550" t="str">
        <f>VLOOKUP(E1546, Sales_Reps!$A$2:$E$31, 3, FALSE)</f>
        <v>South</v>
      </c>
      <c r="N1550">
        <f>VLOOKUP(D1550, Products!$A$2:$F$61, 4, FALSE)</f>
        <v>647</v>
      </c>
    </row>
    <row r="1551" spans="1:14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 t="str">
        <f>VLOOKUP(D1551, Products!$A$2:$F$61, 3, FALSE)</f>
        <v>Electronics</v>
      </c>
      <c r="M1551" t="str">
        <f>VLOOKUP(E1547, Sales_Reps!$A$2:$E$31, 3, FALSE)</f>
        <v>West</v>
      </c>
      <c r="N1551">
        <f>VLOOKUP(D1551, Products!$A$2:$F$61, 4, FALSE)</f>
        <v>2865</v>
      </c>
    </row>
    <row r="1552" spans="1:14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 t="str">
        <f>VLOOKUP(D1552, Products!$A$2:$F$61, 3, FALSE)</f>
        <v>Sports</v>
      </c>
      <c r="M1552" t="str">
        <f>VLOOKUP(E1548, Sales_Reps!$A$2:$E$31, 3, FALSE)</f>
        <v>North</v>
      </c>
      <c r="N1552">
        <f>VLOOKUP(D1552, Products!$A$2:$F$61, 4, FALSE)</f>
        <v>1860</v>
      </c>
    </row>
    <row r="1553" spans="1:14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 t="str">
        <f>VLOOKUP(D1553, Products!$A$2:$F$61, 3, FALSE)</f>
        <v>Grocery</v>
      </c>
      <c r="M1553" t="str">
        <f>VLOOKUP(E1549, Sales_Reps!$A$2:$E$31, 3, FALSE)</f>
        <v>South</v>
      </c>
      <c r="N1553">
        <f>VLOOKUP(D1553, Products!$A$2:$F$61, 4, FALSE)</f>
        <v>1412</v>
      </c>
    </row>
    <row r="1554" spans="1:14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 t="str">
        <f>VLOOKUP(D1554, Products!$A$2:$F$61, 3, FALSE)</f>
        <v>Electronics</v>
      </c>
      <c r="M1554" t="str">
        <f>VLOOKUP(E1550, Sales_Reps!$A$2:$E$31, 3, FALSE)</f>
        <v>West</v>
      </c>
      <c r="N1554">
        <f>VLOOKUP(D1554, Products!$A$2:$F$61, 4, FALSE)</f>
        <v>517</v>
      </c>
    </row>
    <row r="1555" spans="1:14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 t="str">
        <f>VLOOKUP(D1555, Products!$A$2:$F$61, 3, FALSE)</f>
        <v>Beauty</v>
      </c>
      <c r="M1555" t="str">
        <f>VLOOKUP(E1551, Sales_Reps!$A$2:$E$31, 3, FALSE)</f>
        <v>North</v>
      </c>
      <c r="N1555">
        <f>VLOOKUP(D1555, Products!$A$2:$F$61, 4, FALSE)</f>
        <v>1728</v>
      </c>
    </row>
    <row r="1556" spans="1:14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 t="str">
        <f>VLOOKUP(D1556, Products!$A$2:$F$61, 3, FALSE)</f>
        <v>Beauty</v>
      </c>
      <c r="M1556" t="str">
        <f>VLOOKUP(E1552, Sales_Reps!$A$2:$E$31, 3, FALSE)</f>
        <v>North</v>
      </c>
      <c r="N1556">
        <f>VLOOKUP(D1556, Products!$A$2:$F$61, 4, FALSE)</f>
        <v>1728</v>
      </c>
    </row>
    <row r="1557" spans="1:14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 t="str">
        <f>VLOOKUP(D1557, Products!$A$2:$F$61, 3, FALSE)</f>
        <v>Home</v>
      </c>
      <c r="M1557" t="str">
        <f>VLOOKUP(E1553, Sales_Reps!$A$2:$E$31, 3, FALSE)</f>
        <v>North</v>
      </c>
      <c r="N1557">
        <f>VLOOKUP(D1557, Products!$A$2:$F$61, 4, FALSE)</f>
        <v>2549</v>
      </c>
    </row>
    <row r="1558" spans="1:14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 t="str">
        <f>VLOOKUP(D1558, Products!$A$2:$F$61, 3, FALSE)</f>
        <v>Sports</v>
      </c>
      <c r="M1558" t="str">
        <f>VLOOKUP(E1554, Sales_Reps!$A$2:$E$31, 3, FALSE)</f>
        <v>South</v>
      </c>
      <c r="N1558">
        <f>VLOOKUP(D1558, Products!$A$2:$F$61, 4, FALSE)</f>
        <v>2028</v>
      </c>
    </row>
    <row r="1559" spans="1:14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 t="str">
        <f>VLOOKUP(D1559, Products!$A$2:$F$61, 3, FALSE)</f>
        <v>Electronics</v>
      </c>
      <c r="M1559" t="str">
        <f>VLOOKUP(E1555, Sales_Reps!$A$2:$E$31, 3, FALSE)</f>
        <v>South</v>
      </c>
      <c r="N1559">
        <f>VLOOKUP(D1559, Products!$A$2:$F$61, 4, FALSE)</f>
        <v>1149</v>
      </c>
    </row>
    <row r="1560" spans="1:14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 t="str">
        <f>VLOOKUP(D1560, Products!$A$2:$F$61, 3, FALSE)</f>
        <v>Apparel</v>
      </c>
      <c r="M1560" t="str">
        <f>VLOOKUP(E1556, Sales_Reps!$A$2:$E$31, 3, FALSE)</f>
        <v>West</v>
      </c>
      <c r="N1560">
        <f>VLOOKUP(D1560, Products!$A$2:$F$61, 4, FALSE)</f>
        <v>1748</v>
      </c>
    </row>
    <row r="1561" spans="1:14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 t="str">
        <f>VLOOKUP(D1561, Products!$A$2:$F$61, 3, FALSE)</f>
        <v>Home</v>
      </c>
      <c r="M1561" t="str">
        <f>VLOOKUP(E1557, Sales_Reps!$A$2:$E$31, 3, FALSE)</f>
        <v>South</v>
      </c>
      <c r="N1561">
        <f>VLOOKUP(D1561, Products!$A$2:$F$61, 4, FALSE)</f>
        <v>288</v>
      </c>
    </row>
    <row r="1562" spans="1:14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 t="str">
        <f>VLOOKUP(D1562, Products!$A$2:$F$61, 3, FALSE)</f>
        <v>Grocery</v>
      </c>
      <c r="M1562" t="str">
        <f>VLOOKUP(E1558, Sales_Reps!$A$2:$E$31, 3, FALSE)</f>
        <v>East</v>
      </c>
      <c r="N1562">
        <f>VLOOKUP(D1562, Products!$A$2:$F$61, 4, FALSE)</f>
        <v>2911</v>
      </c>
    </row>
    <row r="1563" spans="1:14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 t="str">
        <f>VLOOKUP(D1563, Products!$A$2:$F$61, 3, FALSE)</f>
        <v>Electronics</v>
      </c>
      <c r="M1563" t="str">
        <f>VLOOKUP(E1559, Sales_Reps!$A$2:$E$31, 3, FALSE)</f>
        <v>West</v>
      </c>
      <c r="N1563">
        <f>VLOOKUP(D1563, Products!$A$2:$F$61, 4, FALSE)</f>
        <v>1559</v>
      </c>
    </row>
    <row r="1564" spans="1:14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 t="str">
        <f>VLOOKUP(D1564, Products!$A$2:$F$61, 3, FALSE)</f>
        <v>Electronics</v>
      </c>
      <c r="M1564" t="str">
        <f>VLOOKUP(E1560, Sales_Reps!$A$2:$E$31, 3, FALSE)</f>
        <v>West</v>
      </c>
      <c r="N1564">
        <f>VLOOKUP(D1564, Products!$A$2:$F$61, 4, FALSE)</f>
        <v>2405</v>
      </c>
    </row>
    <row r="1565" spans="1:14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 t="str">
        <f>VLOOKUP(D1565, Products!$A$2:$F$61, 3, FALSE)</f>
        <v>Home</v>
      </c>
      <c r="M1565" t="str">
        <f>VLOOKUP(E1561, Sales_Reps!$A$2:$E$31, 3, FALSE)</f>
        <v>West</v>
      </c>
      <c r="N1565">
        <f>VLOOKUP(D1565, Products!$A$2:$F$61, 4, FALSE)</f>
        <v>288</v>
      </c>
    </row>
    <row r="1566" spans="1:14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 t="str">
        <f>VLOOKUP(D1566, Products!$A$2:$F$61, 3, FALSE)</f>
        <v>Electronics</v>
      </c>
      <c r="M1566" t="str">
        <f>VLOOKUP(E1562, Sales_Reps!$A$2:$E$31, 3, FALSE)</f>
        <v>West</v>
      </c>
      <c r="N1566">
        <f>VLOOKUP(D1566, Products!$A$2:$F$61, 4, FALSE)</f>
        <v>128</v>
      </c>
    </row>
    <row r="1567" spans="1:14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 t="str">
        <f>VLOOKUP(D1567, Products!$A$2:$F$61, 3, FALSE)</f>
        <v>Beauty</v>
      </c>
      <c r="M1567" t="str">
        <f>VLOOKUP(E1563, Sales_Reps!$A$2:$E$31, 3, FALSE)</f>
        <v>West</v>
      </c>
      <c r="N1567">
        <f>VLOOKUP(D1567, Products!$A$2:$F$61, 4, FALSE)</f>
        <v>1728</v>
      </c>
    </row>
    <row r="1568" spans="1:14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 t="str">
        <f>VLOOKUP(D1568, Products!$A$2:$F$61, 3, FALSE)</f>
        <v>Sports</v>
      </c>
      <c r="M1568" t="str">
        <f>VLOOKUP(E1564, Sales_Reps!$A$2:$E$31, 3, FALSE)</f>
        <v>North</v>
      </c>
      <c r="N1568">
        <f>VLOOKUP(D1568, Products!$A$2:$F$61, 4, FALSE)</f>
        <v>2827</v>
      </c>
    </row>
    <row r="1569" spans="1:14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 t="str">
        <f>VLOOKUP(D1569, Products!$A$2:$F$61, 3, FALSE)</f>
        <v>Beauty</v>
      </c>
      <c r="M1569" t="str">
        <f>VLOOKUP(E1565, Sales_Reps!$A$2:$E$31, 3, FALSE)</f>
        <v>East</v>
      </c>
      <c r="N1569">
        <f>VLOOKUP(D1569, Products!$A$2:$F$61, 4, FALSE)</f>
        <v>675</v>
      </c>
    </row>
    <row r="1570" spans="1:14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 t="str">
        <f>VLOOKUP(D1570, Products!$A$2:$F$61, 3, FALSE)</f>
        <v>Grocery</v>
      </c>
      <c r="M1570" t="str">
        <f>VLOOKUP(E1566, Sales_Reps!$A$2:$E$31, 3, FALSE)</f>
        <v>East</v>
      </c>
      <c r="N1570">
        <f>VLOOKUP(D1570, Products!$A$2:$F$61, 4, FALSE)</f>
        <v>1435</v>
      </c>
    </row>
    <row r="1571" spans="1:14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 t="str">
        <f>VLOOKUP(D1571, Products!$A$2:$F$61, 3, FALSE)</f>
        <v>Grocery</v>
      </c>
      <c r="M1571" t="str">
        <f>VLOOKUP(E1567, Sales_Reps!$A$2:$E$31, 3, FALSE)</f>
        <v>South</v>
      </c>
      <c r="N1571">
        <f>VLOOKUP(D1571, Products!$A$2:$F$61, 4, FALSE)</f>
        <v>1203</v>
      </c>
    </row>
    <row r="1572" spans="1:14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 t="str">
        <f>VLOOKUP(D1572, Products!$A$2:$F$61, 3, FALSE)</f>
        <v>Electronics</v>
      </c>
      <c r="M1572" t="str">
        <f>VLOOKUP(E1568, Sales_Reps!$A$2:$E$31, 3, FALSE)</f>
        <v>South</v>
      </c>
      <c r="N1572">
        <f>VLOOKUP(D1572, Products!$A$2:$F$61, 4, FALSE)</f>
        <v>1052</v>
      </c>
    </row>
    <row r="1573" spans="1:14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 t="str">
        <f>VLOOKUP(D1573, Products!$A$2:$F$61, 3, FALSE)</f>
        <v>Electronics</v>
      </c>
      <c r="M1573" t="str">
        <f>VLOOKUP(E1569, Sales_Reps!$A$2:$E$31, 3, FALSE)</f>
        <v>North</v>
      </c>
      <c r="N1573">
        <f>VLOOKUP(D1573, Products!$A$2:$F$61, 4, FALSE)</f>
        <v>1665</v>
      </c>
    </row>
    <row r="1574" spans="1:14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 t="str">
        <f>VLOOKUP(D1574, Products!$A$2:$F$61, 3, FALSE)</f>
        <v>Home</v>
      </c>
      <c r="M1574" t="str">
        <f>VLOOKUP(E1570, Sales_Reps!$A$2:$E$31, 3, FALSE)</f>
        <v>East</v>
      </c>
      <c r="N1574">
        <f>VLOOKUP(D1574, Products!$A$2:$F$61, 4, FALSE)</f>
        <v>2459</v>
      </c>
    </row>
    <row r="1575" spans="1:14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 t="str">
        <f>VLOOKUP(D1575, Products!$A$2:$F$61, 3, FALSE)</f>
        <v>Beauty</v>
      </c>
      <c r="M1575" t="str">
        <f>VLOOKUP(E1571, Sales_Reps!$A$2:$E$31, 3, FALSE)</f>
        <v>West</v>
      </c>
      <c r="N1575">
        <f>VLOOKUP(D1575, Products!$A$2:$F$61, 4, FALSE)</f>
        <v>675</v>
      </c>
    </row>
    <row r="1576" spans="1:14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 t="str">
        <f>VLOOKUP(D1576, Products!$A$2:$F$61, 3, FALSE)</f>
        <v>Sports</v>
      </c>
      <c r="M1576" t="str">
        <f>VLOOKUP(E1572, Sales_Reps!$A$2:$E$31, 3, FALSE)</f>
        <v>East</v>
      </c>
      <c r="N1576">
        <f>VLOOKUP(D1576, Products!$A$2:$F$61, 4, FALSE)</f>
        <v>302</v>
      </c>
    </row>
    <row r="1577" spans="1:14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 t="str">
        <f>VLOOKUP(D1577, Products!$A$2:$F$61, 3, FALSE)</f>
        <v>Electronics</v>
      </c>
      <c r="M1577" t="str">
        <f>VLOOKUP(E1573, Sales_Reps!$A$2:$E$31, 3, FALSE)</f>
        <v>West</v>
      </c>
      <c r="N1577">
        <f>VLOOKUP(D1577, Products!$A$2:$F$61, 4, FALSE)</f>
        <v>517</v>
      </c>
    </row>
    <row r="1578" spans="1:14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 t="str">
        <f>VLOOKUP(D1578, Products!$A$2:$F$61, 3, FALSE)</f>
        <v>Sports</v>
      </c>
      <c r="M1578" t="str">
        <f>VLOOKUP(E1574, Sales_Reps!$A$2:$E$31, 3, FALSE)</f>
        <v>South</v>
      </c>
      <c r="N1578">
        <f>VLOOKUP(D1578, Products!$A$2:$F$61, 4, FALSE)</f>
        <v>516</v>
      </c>
    </row>
    <row r="1579" spans="1:14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 t="str">
        <f>VLOOKUP(D1579, Products!$A$2:$F$61, 3, FALSE)</f>
        <v>Grocery</v>
      </c>
      <c r="M1579" t="str">
        <f>VLOOKUP(E1575, Sales_Reps!$A$2:$E$31, 3, FALSE)</f>
        <v>South</v>
      </c>
      <c r="N1579">
        <f>VLOOKUP(D1579, Products!$A$2:$F$61, 4, FALSE)</f>
        <v>2214</v>
      </c>
    </row>
    <row r="1580" spans="1:14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 t="str">
        <f>VLOOKUP(D1580, Products!$A$2:$F$61, 3, FALSE)</f>
        <v>Home</v>
      </c>
      <c r="M1580" t="str">
        <f>VLOOKUP(E1576, Sales_Reps!$A$2:$E$31, 3, FALSE)</f>
        <v>South</v>
      </c>
      <c r="N1580">
        <f>VLOOKUP(D1580, Products!$A$2:$F$61, 4, FALSE)</f>
        <v>2549</v>
      </c>
    </row>
    <row r="1581" spans="1:14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 t="str">
        <f>VLOOKUP(D1581, Products!$A$2:$F$61, 3, FALSE)</f>
        <v>Grocery</v>
      </c>
      <c r="M1581" t="str">
        <f>VLOOKUP(E1577, Sales_Reps!$A$2:$E$31, 3, FALSE)</f>
        <v>West</v>
      </c>
      <c r="N1581">
        <f>VLOOKUP(D1581, Products!$A$2:$F$61, 4, FALSE)</f>
        <v>1412</v>
      </c>
    </row>
    <row r="1582" spans="1:14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 t="str">
        <f>VLOOKUP(D1582, Products!$A$2:$F$61, 3, FALSE)</f>
        <v>Grocery</v>
      </c>
      <c r="M1582" t="str">
        <f>VLOOKUP(E1578, Sales_Reps!$A$2:$E$31, 3, FALSE)</f>
        <v>North</v>
      </c>
      <c r="N1582">
        <f>VLOOKUP(D1582, Products!$A$2:$F$61, 4, FALSE)</f>
        <v>1412</v>
      </c>
    </row>
    <row r="1583" spans="1:14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 t="str">
        <f>VLOOKUP(D1583, Products!$A$2:$F$61, 3, FALSE)</f>
        <v>Electronics</v>
      </c>
      <c r="M1583" t="str">
        <f>VLOOKUP(E1579, Sales_Reps!$A$2:$E$31, 3, FALSE)</f>
        <v>North</v>
      </c>
      <c r="N1583">
        <f>VLOOKUP(D1583, Products!$A$2:$F$61, 4, FALSE)</f>
        <v>1052</v>
      </c>
    </row>
    <row r="1584" spans="1:14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 t="str">
        <f>VLOOKUP(D1584, Products!$A$2:$F$61, 3, FALSE)</f>
        <v>Electronics</v>
      </c>
      <c r="M1584" t="str">
        <f>VLOOKUP(E1580, Sales_Reps!$A$2:$E$31, 3, FALSE)</f>
        <v>South</v>
      </c>
      <c r="N1584">
        <f>VLOOKUP(D1584, Products!$A$2:$F$61, 4, FALSE)</f>
        <v>1559</v>
      </c>
    </row>
    <row r="1585" spans="1:14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 t="str">
        <f>VLOOKUP(D1585, Products!$A$2:$F$61, 3, FALSE)</f>
        <v>Electronics</v>
      </c>
      <c r="M1585" t="str">
        <f>VLOOKUP(E1581, Sales_Reps!$A$2:$E$31, 3, FALSE)</f>
        <v>North</v>
      </c>
      <c r="N1585">
        <f>VLOOKUP(D1585, Products!$A$2:$F$61, 4, FALSE)</f>
        <v>2865</v>
      </c>
    </row>
    <row r="1586" spans="1:14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 t="str">
        <f>VLOOKUP(D1586, Products!$A$2:$F$61, 3, FALSE)</f>
        <v>Beauty</v>
      </c>
      <c r="M1586" t="str">
        <f>VLOOKUP(E1582, Sales_Reps!$A$2:$E$31, 3, FALSE)</f>
        <v>South</v>
      </c>
      <c r="N1586">
        <f>VLOOKUP(D1586, Products!$A$2:$F$61, 4, FALSE)</f>
        <v>675</v>
      </c>
    </row>
    <row r="1587" spans="1:14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 t="str">
        <f>VLOOKUP(D1587, Products!$A$2:$F$61, 3, FALSE)</f>
        <v>Sports</v>
      </c>
      <c r="M1587" t="str">
        <f>VLOOKUP(E1583, Sales_Reps!$A$2:$E$31, 3, FALSE)</f>
        <v>East</v>
      </c>
      <c r="N1587">
        <f>VLOOKUP(D1587, Products!$A$2:$F$61, 4, FALSE)</f>
        <v>2265</v>
      </c>
    </row>
    <row r="1588" spans="1:14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 t="str">
        <f>VLOOKUP(D1588, Products!$A$2:$F$61, 3, FALSE)</f>
        <v>Apparel</v>
      </c>
      <c r="M1588" t="str">
        <f>VLOOKUP(E1584, Sales_Reps!$A$2:$E$31, 3, FALSE)</f>
        <v>West</v>
      </c>
      <c r="N1588">
        <f>VLOOKUP(D1588, Products!$A$2:$F$61, 4, FALSE)</f>
        <v>1748</v>
      </c>
    </row>
    <row r="1589" spans="1:14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 t="str">
        <f>VLOOKUP(D1589, Products!$A$2:$F$61, 3, FALSE)</f>
        <v>Beauty</v>
      </c>
      <c r="M1589" t="str">
        <f>VLOOKUP(E1585, Sales_Reps!$A$2:$E$31, 3, FALSE)</f>
        <v>North</v>
      </c>
      <c r="N1589">
        <f>VLOOKUP(D1589, Products!$A$2:$F$61, 4, FALSE)</f>
        <v>1626</v>
      </c>
    </row>
    <row r="1590" spans="1:14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 t="str">
        <f>VLOOKUP(D1590, Products!$A$2:$F$61, 3, FALSE)</f>
        <v>Sports</v>
      </c>
      <c r="M1590" t="str">
        <f>VLOOKUP(E1586, Sales_Reps!$A$2:$E$31, 3, FALSE)</f>
        <v>West</v>
      </c>
      <c r="N1590">
        <f>VLOOKUP(D1590, Products!$A$2:$F$61, 4, FALSE)</f>
        <v>147</v>
      </c>
    </row>
    <row r="1591" spans="1:14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 t="str">
        <f>VLOOKUP(D1591, Products!$A$2:$F$61, 3, FALSE)</f>
        <v>Home</v>
      </c>
      <c r="M1591" t="str">
        <f>VLOOKUP(E1587, Sales_Reps!$A$2:$E$31, 3, FALSE)</f>
        <v>West</v>
      </c>
      <c r="N1591">
        <f>VLOOKUP(D1591, Products!$A$2:$F$61, 4, FALSE)</f>
        <v>2135</v>
      </c>
    </row>
    <row r="1592" spans="1:14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 t="str">
        <f>VLOOKUP(D1592, Products!$A$2:$F$61, 3, FALSE)</f>
        <v>Sports</v>
      </c>
      <c r="M1592" t="str">
        <f>VLOOKUP(E1588, Sales_Reps!$A$2:$E$31, 3, FALSE)</f>
        <v>North</v>
      </c>
      <c r="N1592">
        <f>VLOOKUP(D1592, Products!$A$2:$F$61, 4, FALSE)</f>
        <v>2467</v>
      </c>
    </row>
    <row r="1593" spans="1:14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 t="str">
        <f>VLOOKUP(D1593, Products!$A$2:$F$61, 3, FALSE)</f>
        <v>Electronics</v>
      </c>
      <c r="M1593" t="str">
        <f>VLOOKUP(E1589, Sales_Reps!$A$2:$E$31, 3, FALSE)</f>
        <v>North</v>
      </c>
      <c r="N1593">
        <f>VLOOKUP(D1593, Products!$A$2:$F$61, 4, FALSE)</f>
        <v>2865</v>
      </c>
    </row>
    <row r="1594" spans="1:14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 t="str">
        <f>VLOOKUP(D1594, Products!$A$2:$F$61, 3, FALSE)</f>
        <v>Home</v>
      </c>
      <c r="M1594" t="str">
        <f>VLOOKUP(E1590, Sales_Reps!$A$2:$E$31, 3, FALSE)</f>
        <v>North</v>
      </c>
      <c r="N1594">
        <f>VLOOKUP(D1594, Products!$A$2:$F$61, 4, FALSE)</f>
        <v>464</v>
      </c>
    </row>
    <row r="1595" spans="1:14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 t="str">
        <f>VLOOKUP(D1595, Products!$A$2:$F$61, 3, FALSE)</f>
        <v>Home</v>
      </c>
      <c r="M1595" t="str">
        <f>VLOOKUP(E1591, Sales_Reps!$A$2:$E$31, 3, FALSE)</f>
        <v>South</v>
      </c>
      <c r="N1595">
        <f>VLOOKUP(D1595, Products!$A$2:$F$61, 4, FALSE)</f>
        <v>1143</v>
      </c>
    </row>
    <row r="1596" spans="1:14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 t="str">
        <f>VLOOKUP(D1596, Products!$A$2:$F$61, 3, FALSE)</f>
        <v>Grocery</v>
      </c>
      <c r="M1596" t="str">
        <f>VLOOKUP(E1592, Sales_Reps!$A$2:$E$31, 3, FALSE)</f>
        <v>West</v>
      </c>
      <c r="N1596">
        <f>VLOOKUP(D1596, Products!$A$2:$F$61, 4, FALSE)</f>
        <v>2027</v>
      </c>
    </row>
    <row r="1597" spans="1:14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 t="str">
        <f>VLOOKUP(D1597, Products!$A$2:$F$61, 3, FALSE)</f>
        <v>Apparel</v>
      </c>
      <c r="M1597" t="str">
        <f>VLOOKUP(E1593, Sales_Reps!$A$2:$E$31, 3, FALSE)</f>
        <v>North</v>
      </c>
      <c r="N1597">
        <f>VLOOKUP(D1597, Products!$A$2:$F$61, 4, FALSE)</f>
        <v>2509</v>
      </c>
    </row>
    <row r="1598" spans="1:14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 t="str">
        <f>VLOOKUP(D1598, Products!$A$2:$F$61, 3, FALSE)</f>
        <v>Sports</v>
      </c>
      <c r="M1598" t="str">
        <f>VLOOKUP(E1594, Sales_Reps!$A$2:$E$31, 3, FALSE)</f>
        <v>East</v>
      </c>
      <c r="N1598">
        <f>VLOOKUP(D1598, Products!$A$2:$F$61, 4, FALSE)</f>
        <v>516</v>
      </c>
    </row>
    <row r="1599" spans="1:14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 t="str">
        <f>VLOOKUP(D1599, Products!$A$2:$F$61, 3, FALSE)</f>
        <v>Grocery</v>
      </c>
      <c r="M1599" t="str">
        <f>VLOOKUP(E1595, Sales_Reps!$A$2:$E$31, 3, FALSE)</f>
        <v>East</v>
      </c>
      <c r="N1599">
        <f>VLOOKUP(D1599, Products!$A$2:$F$61, 4, FALSE)</f>
        <v>434</v>
      </c>
    </row>
    <row r="1600" spans="1:14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 t="str">
        <f>VLOOKUP(D1600, Products!$A$2:$F$61, 3, FALSE)</f>
        <v>Sports</v>
      </c>
      <c r="M1600" t="str">
        <f>VLOOKUP(E1596, Sales_Reps!$A$2:$E$31, 3, FALSE)</f>
        <v>North</v>
      </c>
      <c r="N1600">
        <f>VLOOKUP(D1600, Products!$A$2:$F$61, 4, FALSE)</f>
        <v>302</v>
      </c>
    </row>
    <row r="1601" spans="1:14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 t="str">
        <f>VLOOKUP(D1601, Products!$A$2:$F$61, 3, FALSE)</f>
        <v>Apparel</v>
      </c>
      <c r="M1601" t="str">
        <f>VLOOKUP(E1597, Sales_Reps!$A$2:$E$31, 3, FALSE)</f>
        <v>West</v>
      </c>
      <c r="N1601">
        <f>VLOOKUP(D1601, Products!$A$2:$F$61, 4, FALSE)</f>
        <v>1748</v>
      </c>
    </row>
    <row r="1602" spans="1:14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 t="str">
        <f>VLOOKUP(D1602, Products!$A$2:$F$61, 3, FALSE)</f>
        <v>Electronics</v>
      </c>
      <c r="M1602" t="str">
        <f>VLOOKUP(E1598, Sales_Reps!$A$2:$E$31, 3, FALSE)</f>
        <v>North</v>
      </c>
      <c r="N1602">
        <f>VLOOKUP(D1602, Products!$A$2:$F$61, 4, FALSE)</f>
        <v>1149</v>
      </c>
    </row>
    <row r="1603" spans="1:14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 t="str">
        <f>VLOOKUP(D1603, Products!$A$2:$F$61, 3, FALSE)</f>
        <v>Electronics</v>
      </c>
      <c r="M1603" t="str">
        <f>VLOOKUP(E1599, Sales_Reps!$A$2:$E$31, 3, FALSE)</f>
        <v>North</v>
      </c>
      <c r="N1603">
        <f>VLOOKUP(D1603, Products!$A$2:$F$61, 4, FALSE)</f>
        <v>1665</v>
      </c>
    </row>
    <row r="1604" spans="1:14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 t="str">
        <f>VLOOKUP(D1604, Products!$A$2:$F$61, 3, FALSE)</f>
        <v>Electronics</v>
      </c>
      <c r="M1604" t="str">
        <f>VLOOKUP(E1600, Sales_Reps!$A$2:$E$31, 3, FALSE)</f>
        <v>West</v>
      </c>
      <c r="N1604">
        <f>VLOOKUP(D1604, Products!$A$2:$F$61, 4, FALSE)</f>
        <v>861</v>
      </c>
    </row>
    <row r="1605" spans="1:14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 t="str">
        <f>VLOOKUP(D1605, Products!$A$2:$F$61, 3, FALSE)</f>
        <v>Sports</v>
      </c>
      <c r="M1605" t="str">
        <f>VLOOKUP(E1601, Sales_Reps!$A$2:$E$31, 3, FALSE)</f>
        <v>South</v>
      </c>
      <c r="N1605">
        <f>VLOOKUP(D1605, Products!$A$2:$F$61, 4, FALSE)</f>
        <v>705</v>
      </c>
    </row>
    <row r="1606" spans="1:14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 t="str">
        <f>VLOOKUP(D1606, Products!$A$2:$F$61, 3, FALSE)</f>
        <v>Home</v>
      </c>
      <c r="M1606" t="str">
        <f>VLOOKUP(E1602, Sales_Reps!$A$2:$E$31, 3, FALSE)</f>
        <v>East</v>
      </c>
      <c r="N1606">
        <f>VLOOKUP(D1606, Products!$A$2:$F$61, 4, FALSE)</f>
        <v>1556</v>
      </c>
    </row>
    <row r="1607" spans="1:14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 t="str">
        <f>VLOOKUP(D1607, Products!$A$2:$F$61, 3, FALSE)</f>
        <v>Sports</v>
      </c>
      <c r="M1607" t="str">
        <f>VLOOKUP(E1603, Sales_Reps!$A$2:$E$31, 3, FALSE)</f>
        <v>East</v>
      </c>
      <c r="N1607">
        <f>VLOOKUP(D1607, Products!$A$2:$F$61, 4, FALSE)</f>
        <v>2467</v>
      </c>
    </row>
    <row r="1608" spans="1:14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 t="str">
        <f>VLOOKUP(D1608, Products!$A$2:$F$61, 3, FALSE)</f>
        <v>Grocery</v>
      </c>
      <c r="M1608" t="str">
        <f>VLOOKUP(E1604, Sales_Reps!$A$2:$E$31, 3, FALSE)</f>
        <v>South</v>
      </c>
      <c r="N1608">
        <f>VLOOKUP(D1608, Products!$A$2:$F$61, 4, FALSE)</f>
        <v>1203</v>
      </c>
    </row>
    <row r="1609" spans="1:14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 t="str">
        <f>VLOOKUP(D1609, Products!$A$2:$F$61, 3, FALSE)</f>
        <v>Beauty</v>
      </c>
      <c r="M1609" t="str">
        <f>VLOOKUP(E1605, Sales_Reps!$A$2:$E$31, 3, FALSE)</f>
        <v>South</v>
      </c>
      <c r="N1609">
        <f>VLOOKUP(D1609, Products!$A$2:$F$61, 4, FALSE)</f>
        <v>1626</v>
      </c>
    </row>
    <row r="1610" spans="1:14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 t="str">
        <f>VLOOKUP(D1610, Products!$A$2:$F$61, 3, FALSE)</f>
        <v>Electronics</v>
      </c>
      <c r="M1610" t="str">
        <f>VLOOKUP(E1606, Sales_Reps!$A$2:$E$31, 3, FALSE)</f>
        <v>South</v>
      </c>
      <c r="N1610">
        <f>VLOOKUP(D1610, Products!$A$2:$F$61, 4, FALSE)</f>
        <v>1149</v>
      </c>
    </row>
    <row r="1611" spans="1:14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 t="str">
        <f>VLOOKUP(D1611, Products!$A$2:$F$61, 3, FALSE)</f>
        <v>Grocery</v>
      </c>
      <c r="M1611" t="str">
        <f>VLOOKUP(E1607, Sales_Reps!$A$2:$E$31, 3, FALSE)</f>
        <v>East</v>
      </c>
      <c r="N1611">
        <f>VLOOKUP(D1611, Products!$A$2:$F$61, 4, FALSE)</f>
        <v>1203</v>
      </c>
    </row>
    <row r="1612" spans="1:14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 t="str">
        <f>VLOOKUP(D1612, Products!$A$2:$F$61, 3, FALSE)</f>
        <v>Grocery</v>
      </c>
      <c r="M1612" t="str">
        <f>VLOOKUP(E1608, Sales_Reps!$A$2:$E$31, 3, FALSE)</f>
        <v>South</v>
      </c>
      <c r="N1612">
        <f>VLOOKUP(D1612, Products!$A$2:$F$61, 4, FALSE)</f>
        <v>1435</v>
      </c>
    </row>
    <row r="1613" spans="1:14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 t="str">
        <f>VLOOKUP(D1613, Products!$A$2:$F$61, 3, FALSE)</f>
        <v>Apparel</v>
      </c>
      <c r="M1613" t="str">
        <f>VLOOKUP(E1609, Sales_Reps!$A$2:$E$31, 3, FALSE)</f>
        <v>East</v>
      </c>
      <c r="N1613">
        <f>VLOOKUP(D1613, Products!$A$2:$F$61, 4, FALSE)</f>
        <v>2509</v>
      </c>
    </row>
    <row r="1614" spans="1:14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 t="str">
        <f>VLOOKUP(D1614, Products!$A$2:$F$61, 3, FALSE)</f>
        <v>Beauty</v>
      </c>
      <c r="M1614" t="str">
        <f>VLOOKUP(E1610, Sales_Reps!$A$2:$E$31, 3, FALSE)</f>
        <v>North</v>
      </c>
      <c r="N1614">
        <f>VLOOKUP(D1614, Products!$A$2:$F$61, 4, FALSE)</f>
        <v>1219</v>
      </c>
    </row>
    <row r="1615" spans="1:14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 t="str">
        <f>VLOOKUP(D1615, Products!$A$2:$F$61, 3, FALSE)</f>
        <v>Beauty</v>
      </c>
      <c r="M1615" t="str">
        <f>VLOOKUP(E1611, Sales_Reps!$A$2:$E$31, 3, FALSE)</f>
        <v>West</v>
      </c>
      <c r="N1615">
        <f>VLOOKUP(D1615, Products!$A$2:$F$61, 4, FALSE)</f>
        <v>1222</v>
      </c>
    </row>
    <row r="1616" spans="1:14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 t="str">
        <f>VLOOKUP(D1616, Products!$A$2:$F$61, 3, FALSE)</f>
        <v>Electronics</v>
      </c>
      <c r="M1616" t="str">
        <f>VLOOKUP(E1612, Sales_Reps!$A$2:$E$31, 3, FALSE)</f>
        <v>West</v>
      </c>
      <c r="N1616">
        <f>VLOOKUP(D1616, Products!$A$2:$F$61, 4, FALSE)</f>
        <v>2405</v>
      </c>
    </row>
    <row r="1617" spans="1:14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 t="str">
        <f>VLOOKUP(D1617, Products!$A$2:$F$61, 3, FALSE)</f>
        <v>Home</v>
      </c>
      <c r="M1617" t="str">
        <f>VLOOKUP(E1613, Sales_Reps!$A$2:$E$31, 3, FALSE)</f>
        <v>East</v>
      </c>
      <c r="N1617">
        <f>VLOOKUP(D1617, Products!$A$2:$F$61, 4, FALSE)</f>
        <v>519</v>
      </c>
    </row>
    <row r="1618" spans="1:14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 t="str">
        <f>VLOOKUP(D1618, Products!$A$2:$F$61, 3, FALSE)</f>
        <v>Electronics</v>
      </c>
      <c r="M1618" t="str">
        <f>VLOOKUP(E1614, Sales_Reps!$A$2:$E$31, 3, FALSE)</f>
        <v>East</v>
      </c>
      <c r="N1618">
        <f>VLOOKUP(D1618, Products!$A$2:$F$61, 4, FALSE)</f>
        <v>517</v>
      </c>
    </row>
    <row r="1619" spans="1:14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 t="str">
        <f>VLOOKUP(D1619, Products!$A$2:$F$61, 3, FALSE)</f>
        <v>Home</v>
      </c>
      <c r="M1619" t="str">
        <f>VLOOKUP(E1615, Sales_Reps!$A$2:$E$31, 3, FALSE)</f>
        <v>East</v>
      </c>
      <c r="N1619">
        <f>VLOOKUP(D1619, Products!$A$2:$F$61, 4, FALSE)</f>
        <v>329</v>
      </c>
    </row>
    <row r="1620" spans="1:14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 t="str">
        <f>VLOOKUP(D1620, Products!$A$2:$F$61, 3, FALSE)</f>
        <v>Home</v>
      </c>
      <c r="M1620" t="str">
        <f>VLOOKUP(E1616, Sales_Reps!$A$2:$E$31, 3, FALSE)</f>
        <v>East</v>
      </c>
      <c r="N1620">
        <f>VLOOKUP(D1620, Products!$A$2:$F$61, 4, FALSE)</f>
        <v>519</v>
      </c>
    </row>
    <row r="1621" spans="1:14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 t="str">
        <f>VLOOKUP(D1621, Products!$A$2:$F$61, 3, FALSE)</f>
        <v>Grocery</v>
      </c>
      <c r="M1621" t="str">
        <f>VLOOKUP(E1617, Sales_Reps!$A$2:$E$31, 3, FALSE)</f>
        <v>East</v>
      </c>
      <c r="N1621">
        <f>VLOOKUP(D1621, Products!$A$2:$F$61, 4, FALSE)</f>
        <v>1412</v>
      </c>
    </row>
    <row r="1622" spans="1:14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 t="str">
        <f>VLOOKUP(D1622, Products!$A$2:$F$61, 3, FALSE)</f>
        <v>Home</v>
      </c>
      <c r="M1622" t="str">
        <f>VLOOKUP(E1618, Sales_Reps!$A$2:$E$31, 3, FALSE)</f>
        <v>East</v>
      </c>
      <c r="N1622">
        <f>VLOOKUP(D1622, Products!$A$2:$F$61, 4, FALSE)</f>
        <v>288</v>
      </c>
    </row>
    <row r="1623" spans="1:14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 t="str">
        <f>VLOOKUP(D1623, Products!$A$2:$F$61, 3, FALSE)</f>
        <v>Grocery</v>
      </c>
      <c r="M1623" t="str">
        <f>VLOOKUP(E1619, Sales_Reps!$A$2:$E$31, 3, FALSE)</f>
        <v>West</v>
      </c>
      <c r="N1623">
        <f>VLOOKUP(D1623, Products!$A$2:$F$61, 4, FALSE)</f>
        <v>434</v>
      </c>
    </row>
    <row r="1624" spans="1:14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 t="str">
        <f>VLOOKUP(D1624, Products!$A$2:$F$61, 3, FALSE)</f>
        <v>Apparel</v>
      </c>
      <c r="M1624" t="str">
        <f>VLOOKUP(E1620, Sales_Reps!$A$2:$E$31, 3, FALSE)</f>
        <v>East</v>
      </c>
      <c r="N1624">
        <f>VLOOKUP(D1624, Products!$A$2:$F$61, 4, FALSE)</f>
        <v>396</v>
      </c>
    </row>
    <row r="1625" spans="1:14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 t="str">
        <f>VLOOKUP(D1625, Products!$A$2:$F$61, 3, FALSE)</f>
        <v>Grocery</v>
      </c>
      <c r="M1625" t="str">
        <f>VLOOKUP(E1621, Sales_Reps!$A$2:$E$31, 3, FALSE)</f>
        <v>East</v>
      </c>
      <c r="N1625">
        <f>VLOOKUP(D1625, Products!$A$2:$F$61, 4, FALSE)</f>
        <v>2214</v>
      </c>
    </row>
    <row r="1626" spans="1:14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 t="str">
        <f>VLOOKUP(D1626, Products!$A$2:$F$61, 3, FALSE)</f>
        <v>Grocery</v>
      </c>
      <c r="M1626" t="str">
        <f>VLOOKUP(E1622, Sales_Reps!$A$2:$E$31, 3, FALSE)</f>
        <v>West</v>
      </c>
      <c r="N1626">
        <f>VLOOKUP(D1626, Products!$A$2:$F$61, 4, FALSE)</f>
        <v>1010</v>
      </c>
    </row>
    <row r="1627" spans="1:14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 t="str">
        <f>VLOOKUP(D1627, Products!$A$2:$F$61, 3, FALSE)</f>
        <v>Sports</v>
      </c>
      <c r="M1627" t="str">
        <f>VLOOKUP(E1623, Sales_Reps!$A$2:$E$31, 3, FALSE)</f>
        <v>South</v>
      </c>
      <c r="N1627">
        <f>VLOOKUP(D1627, Products!$A$2:$F$61, 4, FALSE)</f>
        <v>1860</v>
      </c>
    </row>
    <row r="1628" spans="1:14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 t="str">
        <f>VLOOKUP(D1628, Products!$A$2:$F$61, 3, FALSE)</f>
        <v>Electronics</v>
      </c>
      <c r="M1628" t="str">
        <f>VLOOKUP(E1624, Sales_Reps!$A$2:$E$31, 3, FALSE)</f>
        <v>North</v>
      </c>
      <c r="N1628">
        <f>VLOOKUP(D1628, Products!$A$2:$F$61, 4, FALSE)</f>
        <v>1052</v>
      </c>
    </row>
    <row r="1629" spans="1:14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 t="str">
        <f>VLOOKUP(D1629, Products!$A$2:$F$61, 3, FALSE)</f>
        <v>Grocery</v>
      </c>
      <c r="M1629" t="str">
        <f>VLOOKUP(E1625, Sales_Reps!$A$2:$E$31, 3, FALSE)</f>
        <v>West</v>
      </c>
      <c r="N1629">
        <f>VLOOKUP(D1629, Products!$A$2:$F$61, 4, FALSE)</f>
        <v>2436</v>
      </c>
    </row>
    <row r="1630" spans="1:14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 t="str">
        <f>VLOOKUP(D1630, Products!$A$2:$F$61, 3, FALSE)</f>
        <v>Electronics</v>
      </c>
      <c r="M1630" t="str">
        <f>VLOOKUP(E1626, Sales_Reps!$A$2:$E$31, 3, FALSE)</f>
        <v>West</v>
      </c>
      <c r="N1630">
        <f>VLOOKUP(D1630, Products!$A$2:$F$61, 4, FALSE)</f>
        <v>1149</v>
      </c>
    </row>
    <row r="1631" spans="1:14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 t="str">
        <f>VLOOKUP(D1631, Products!$A$2:$F$61, 3, FALSE)</f>
        <v>Home</v>
      </c>
      <c r="M1631" t="str">
        <f>VLOOKUP(E1627, Sales_Reps!$A$2:$E$31, 3, FALSE)</f>
        <v>West</v>
      </c>
      <c r="N1631">
        <f>VLOOKUP(D1631, Products!$A$2:$F$61, 4, FALSE)</f>
        <v>464</v>
      </c>
    </row>
    <row r="1632" spans="1:14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 t="str">
        <f>VLOOKUP(D1632, Products!$A$2:$F$61, 3, FALSE)</f>
        <v>Apparel</v>
      </c>
      <c r="M1632" t="str">
        <f>VLOOKUP(E1628, Sales_Reps!$A$2:$E$31, 3, FALSE)</f>
        <v>North</v>
      </c>
      <c r="N1632">
        <f>VLOOKUP(D1632, Products!$A$2:$F$61, 4, FALSE)</f>
        <v>1748</v>
      </c>
    </row>
    <row r="1633" spans="1:14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 t="str">
        <f>VLOOKUP(D1633, Products!$A$2:$F$61, 3, FALSE)</f>
        <v>Beauty</v>
      </c>
      <c r="M1633" t="str">
        <f>VLOOKUP(E1629, Sales_Reps!$A$2:$E$31, 3, FALSE)</f>
        <v>East</v>
      </c>
      <c r="N1633">
        <f>VLOOKUP(D1633, Products!$A$2:$F$61, 4, FALSE)</f>
        <v>675</v>
      </c>
    </row>
    <row r="1634" spans="1:14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 t="str">
        <f>VLOOKUP(D1634, Products!$A$2:$F$61, 3, FALSE)</f>
        <v>Grocery</v>
      </c>
      <c r="M1634" t="str">
        <f>VLOOKUP(E1630, Sales_Reps!$A$2:$E$31, 3, FALSE)</f>
        <v>North</v>
      </c>
      <c r="N1634">
        <f>VLOOKUP(D1634, Products!$A$2:$F$61, 4, FALSE)</f>
        <v>2214</v>
      </c>
    </row>
    <row r="1635" spans="1:14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 t="str">
        <f>VLOOKUP(D1635, Products!$A$2:$F$61, 3, FALSE)</f>
        <v>Home</v>
      </c>
      <c r="M1635" t="str">
        <f>VLOOKUP(E1631, Sales_Reps!$A$2:$E$31, 3, FALSE)</f>
        <v>South</v>
      </c>
      <c r="N1635">
        <f>VLOOKUP(D1635, Products!$A$2:$F$61, 4, FALSE)</f>
        <v>2135</v>
      </c>
    </row>
    <row r="1636" spans="1:14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 t="str">
        <f>VLOOKUP(D1636, Products!$A$2:$F$61, 3, FALSE)</f>
        <v>Grocery</v>
      </c>
      <c r="M1636" t="str">
        <f>VLOOKUP(E1632, Sales_Reps!$A$2:$E$31, 3, FALSE)</f>
        <v>West</v>
      </c>
      <c r="N1636">
        <f>VLOOKUP(D1636, Products!$A$2:$F$61, 4, FALSE)</f>
        <v>2027</v>
      </c>
    </row>
    <row r="1637" spans="1:14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 t="str">
        <f>VLOOKUP(D1637, Products!$A$2:$F$61, 3, FALSE)</f>
        <v>Electronics</v>
      </c>
      <c r="M1637" t="str">
        <f>VLOOKUP(E1633, Sales_Reps!$A$2:$E$31, 3, FALSE)</f>
        <v>South</v>
      </c>
      <c r="N1637">
        <f>VLOOKUP(D1637, Products!$A$2:$F$61, 4, FALSE)</f>
        <v>1259</v>
      </c>
    </row>
    <row r="1638" spans="1:14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 t="str">
        <f>VLOOKUP(D1638, Products!$A$2:$F$61, 3, FALSE)</f>
        <v>Home</v>
      </c>
      <c r="M1638" t="str">
        <f>VLOOKUP(E1634, Sales_Reps!$A$2:$E$31, 3, FALSE)</f>
        <v>West</v>
      </c>
      <c r="N1638">
        <f>VLOOKUP(D1638, Products!$A$2:$F$61, 4, FALSE)</f>
        <v>1143</v>
      </c>
    </row>
    <row r="1639" spans="1:14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 t="str">
        <f>VLOOKUP(D1639, Products!$A$2:$F$61, 3, FALSE)</f>
        <v>Grocery</v>
      </c>
      <c r="M1639" t="str">
        <f>VLOOKUP(E1635, Sales_Reps!$A$2:$E$31, 3, FALSE)</f>
        <v>North</v>
      </c>
      <c r="N1639">
        <f>VLOOKUP(D1639, Products!$A$2:$F$61, 4, FALSE)</f>
        <v>2214</v>
      </c>
    </row>
    <row r="1640" spans="1:14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 t="str">
        <f>VLOOKUP(D1640, Products!$A$2:$F$61, 3, FALSE)</f>
        <v>Electronics</v>
      </c>
      <c r="M1640" t="str">
        <f>VLOOKUP(E1636, Sales_Reps!$A$2:$E$31, 3, FALSE)</f>
        <v>North</v>
      </c>
      <c r="N1640">
        <f>VLOOKUP(D1640, Products!$A$2:$F$61, 4, FALSE)</f>
        <v>1259</v>
      </c>
    </row>
    <row r="1641" spans="1:14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 t="str">
        <f>VLOOKUP(D1641, Products!$A$2:$F$61, 3, FALSE)</f>
        <v>Beauty</v>
      </c>
      <c r="M1641" t="str">
        <f>VLOOKUP(E1637, Sales_Reps!$A$2:$E$31, 3, FALSE)</f>
        <v>East</v>
      </c>
      <c r="N1641">
        <f>VLOOKUP(D1641, Products!$A$2:$F$61, 4, FALSE)</f>
        <v>2768</v>
      </c>
    </row>
    <row r="1642" spans="1:14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 t="str">
        <f>VLOOKUP(D1642, Products!$A$2:$F$61, 3, FALSE)</f>
        <v>Apparel</v>
      </c>
      <c r="M1642" t="str">
        <f>VLOOKUP(E1638, Sales_Reps!$A$2:$E$31, 3, FALSE)</f>
        <v>North</v>
      </c>
      <c r="N1642">
        <f>VLOOKUP(D1642, Products!$A$2:$F$61, 4, FALSE)</f>
        <v>1748</v>
      </c>
    </row>
    <row r="1643" spans="1:14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 t="str">
        <f>VLOOKUP(D1643, Products!$A$2:$F$61, 3, FALSE)</f>
        <v>Beauty</v>
      </c>
      <c r="M1643" t="str">
        <f>VLOOKUP(E1639, Sales_Reps!$A$2:$E$31, 3, FALSE)</f>
        <v>North</v>
      </c>
      <c r="N1643">
        <f>VLOOKUP(D1643, Products!$A$2:$F$61, 4, FALSE)</f>
        <v>1626</v>
      </c>
    </row>
    <row r="1644" spans="1:14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 t="str">
        <f>VLOOKUP(D1644, Products!$A$2:$F$61, 3, FALSE)</f>
        <v>Sports</v>
      </c>
      <c r="M1644" t="str">
        <f>VLOOKUP(E1640, Sales_Reps!$A$2:$E$31, 3, FALSE)</f>
        <v>North</v>
      </c>
      <c r="N1644">
        <f>VLOOKUP(D1644, Products!$A$2:$F$61, 4, FALSE)</f>
        <v>2827</v>
      </c>
    </row>
    <row r="1645" spans="1:14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 t="str">
        <f>VLOOKUP(D1645, Products!$A$2:$F$61, 3, FALSE)</f>
        <v>Grocery</v>
      </c>
      <c r="M1645" t="str">
        <f>VLOOKUP(E1641, Sales_Reps!$A$2:$E$31, 3, FALSE)</f>
        <v>South</v>
      </c>
      <c r="N1645">
        <f>VLOOKUP(D1645, Products!$A$2:$F$61, 4, FALSE)</f>
        <v>1435</v>
      </c>
    </row>
    <row r="1646" spans="1:14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 t="str">
        <f>VLOOKUP(D1646, Products!$A$2:$F$61, 3, FALSE)</f>
        <v>Beauty</v>
      </c>
      <c r="M1646" t="str">
        <f>VLOOKUP(E1642, Sales_Reps!$A$2:$E$31, 3, FALSE)</f>
        <v>South</v>
      </c>
      <c r="N1646">
        <f>VLOOKUP(D1646, Products!$A$2:$F$61, 4, FALSE)</f>
        <v>675</v>
      </c>
    </row>
    <row r="1647" spans="1:14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 t="str">
        <f>VLOOKUP(D1647, Products!$A$2:$F$61, 3, FALSE)</f>
        <v>Beauty</v>
      </c>
      <c r="M1647" t="str">
        <f>VLOOKUP(E1643, Sales_Reps!$A$2:$E$31, 3, FALSE)</f>
        <v>East</v>
      </c>
      <c r="N1647">
        <f>VLOOKUP(D1647, Products!$A$2:$F$61, 4, FALSE)</f>
        <v>675</v>
      </c>
    </row>
    <row r="1648" spans="1:14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 t="str">
        <f>VLOOKUP(D1648, Products!$A$2:$F$61, 3, FALSE)</f>
        <v>Grocery</v>
      </c>
      <c r="M1648" t="str">
        <f>VLOOKUP(E1644, Sales_Reps!$A$2:$E$31, 3, FALSE)</f>
        <v>East</v>
      </c>
      <c r="N1648">
        <f>VLOOKUP(D1648, Products!$A$2:$F$61, 4, FALSE)</f>
        <v>434</v>
      </c>
    </row>
    <row r="1649" spans="1:14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 t="str">
        <f>VLOOKUP(D1649, Products!$A$2:$F$61, 3, FALSE)</f>
        <v>Beauty</v>
      </c>
      <c r="M1649" t="str">
        <f>VLOOKUP(E1645, Sales_Reps!$A$2:$E$31, 3, FALSE)</f>
        <v>East</v>
      </c>
      <c r="N1649">
        <f>VLOOKUP(D1649, Products!$A$2:$F$61, 4, FALSE)</f>
        <v>2617</v>
      </c>
    </row>
    <row r="1650" spans="1:14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 t="str">
        <f>VLOOKUP(D1650, Products!$A$2:$F$61, 3, FALSE)</f>
        <v>Grocery</v>
      </c>
      <c r="M1650" t="str">
        <f>VLOOKUP(E1646, Sales_Reps!$A$2:$E$31, 3, FALSE)</f>
        <v>East</v>
      </c>
      <c r="N1650">
        <f>VLOOKUP(D1650, Products!$A$2:$F$61, 4, FALSE)</f>
        <v>2214</v>
      </c>
    </row>
    <row r="1651" spans="1:14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 t="str">
        <f>VLOOKUP(D1651, Products!$A$2:$F$61, 3, FALSE)</f>
        <v>Home</v>
      </c>
      <c r="M1651" t="str">
        <f>VLOOKUP(E1647, Sales_Reps!$A$2:$E$31, 3, FALSE)</f>
        <v>South</v>
      </c>
      <c r="N1651">
        <f>VLOOKUP(D1651, Products!$A$2:$F$61, 4, FALSE)</f>
        <v>2135</v>
      </c>
    </row>
    <row r="1652" spans="1:14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 t="str">
        <f>VLOOKUP(D1652, Products!$A$2:$F$61, 3, FALSE)</f>
        <v>Electronics</v>
      </c>
      <c r="M1652" t="str">
        <f>VLOOKUP(E1648, Sales_Reps!$A$2:$E$31, 3, FALSE)</f>
        <v>East</v>
      </c>
      <c r="N1652">
        <f>VLOOKUP(D1652, Products!$A$2:$F$61, 4, FALSE)</f>
        <v>1559</v>
      </c>
    </row>
    <row r="1653" spans="1:14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 t="str">
        <f>VLOOKUP(D1653, Products!$A$2:$F$61, 3, FALSE)</f>
        <v>Grocery</v>
      </c>
      <c r="M1653" t="str">
        <f>VLOOKUP(E1649, Sales_Reps!$A$2:$E$31, 3, FALSE)</f>
        <v>East</v>
      </c>
      <c r="N1653">
        <f>VLOOKUP(D1653, Products!$A$2:$F$61, 4, FALSE)</f>
        <v>1435</v>
      </c>
    </row>
    <row r="1654" spans="1:14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 t="str">
        <f>VLOOKUP(D1654, Products!$A$2:$F$61, 3, FALSE)</f>
        <v>Grocery</v>
      </c>
      <c r="M1654" t="str">
        <f>VLOOKUP(E1650, Sales_Reps!$A$2:$E$31, 3, FALSE)</f>
        <v>South</v>
      </c>
      <c r="N1654">
        <f>VLOOKUP(D1654, Products!$A$2:$F$61, 4, FALSE)</f>
        <v>1182</v>
      </c>
    </row>
    <row r="1655" spans="1:14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 t="str">
        <f>VLOOKUP(D1655, Products!$A$2:$F$61, 3, FALSE)</f>
        <v>Beauty</v>
      </c>
      <c r="M1655" t="str">
        <f>VLOOKUP(E1651, Sales_Reps!$A$2:$E$31, 3, FALSE)</f>
        <v>North</v>
      </c>
      <c r="N1655">
        <f>VLOOKUP(D1655, Products!$A$2:$F$61, 4, FALSE)</f>
        <v>2617</v>
      </c>
    </row>
    <row r="1656" spans="1:14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 t="str">
        <f>VLOOKUP(D1656, Products!$A$2:$F$61, 3, FALSE)</f>
        <v>Apparel</v>
      </c>
      <c r="M1656" t="str">
        <f>VLOOKUP(E1652, Sales_Reps!$A$2:$E$31, 3, FALSE)</f>
        <v>West</v>
      </c>
      <c r="N1656">
        <f>VLOOKUP(D1656, Products!$A$2:$F$61, 4, FALSE)</f>
        <v>396</v>
      </c>
    </row>
    <row r="1657" spans="1:14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 t="str">
        <f>VLOOKUP(D1657, Products!$A$2:$F$61, 3, FALSE)</f>
        <v>Electronics</v>
      </c>
      <c r="M1657" t="str">
        <f>VLOOKUP(E1653, Sales_Reps!$A$2:$E$31, 3, FALSE)</f>
        <v>South</v>
      </c>
      <c r="N1657">
        <f>VLOOKUP(D1657, Products!$A$2:$F$61, 4, FALSE)</f>
        <v>1559</v>
      </c>
    </row>
    <row r="1658" spans="1:14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 t="str">
        <f>VLOOKUP(D1658, Products!$A$2:$F$61, 3, FALSE)</f>
        <v>Electronics</v>
      </c>
      <c r="M1658" t="str">
        <f>VLOOKUP(E1654, Sales_Reps!$A$2:$E$31, 3, FALSE)</f>
        <v>East</v>
      </c>
      <c r="N1658">
        <f>VLOOKUP(D1658, Products!$A$2:$F$61, 4, FALSE)</f>
        <v>1665</v>
      </c>
    </row>
    <row r="1659" spans="1:14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 t="str">
        <f>VLOOKUP(D1659, Products!$A$2:$F$61, 3, FALSE)</f>
        <v>Grocery</v>
      </c>
      <c r="M1659" t="str">
        <f>VLOOKUP(E1655, Sales_Reps!$A$2:$E$31, 3, FALSE)</f>
        <v>South</v>
      </c>
      <c r="N1659">
        <f>VLOOKUP(D1659, Products!$A$2:$F$61, 4, FALSE)</f>
        <v>2027</v>
      </c>
    </row>
    <row r="1660" spans="1:14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 t="str">
        <f>VLOOKUP(D1660, Products!$A$2:$F$61, 3, FALSE)</f>
        <v>Apparel</v>
      </c>
      <c r="M1660" t="str">
        <f>VLOOKUP(E1656, Sales_Reps!$A$2:$E$31, 3, FALSE)</f>
        <v>South</v>
      </c>
      <c r="N1660">
        <f>VLOOKUP(D1660, Products!$A$2:$F$61, 4, FALSE)</f>
        <v>391</v>
      </c>
    </row>
    <row r="1661" spans="1:14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 t="str">
        <f>VLOOKUP(D1661, Products!$A$2:$F$61, 3, FALSE)</f>
        <v>Beauty</v>
      </c>
      <c r="M1661" t="str">
        <f>VLOOKUP(E1657, Sales_Reps!$A$2:$E$31, 3, FALSE)</f>
        <v>South</v>
      </c>
      <c r="N1661">
        <f>VLOOKUP(D1661, Products!$A$2:$F$61, 4, FALSE)</f>
        <v>1626</v>
      </c>
    </row>
    <row r="1662" spans="1:14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 t="str">
        <f>VLOOKUP(D1662, Products!$A$2:$F$61, 3, FALSE)</f>
        <v>Apparel</v>
      </c>
      <c r="M1662" t="str">
        <f>VLOOKUP(E1658, Sales_Reps!$A$2:$E$31, 3, FALSE)</f>
        <v>East</v>
      </c>
      <c r="N1662">
        <f>VLOOKUP(D1662, Products!$A$2:$F$61, 4, FALSE)</f>
        <v>2629</v>
      </c>
    </row>
    <row r="1663" spans="1:14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 t="str">
        <f>VLOOKUP(D1663, Products!$A$2:$F$61, 3, FALSE)</f>
        <v>Beauty</v>
      </c>
      <c r="M1663" t="str">
        <f>VLOOKUP(E1659, Sales_Reps!$A$2:$E$31, 3, FALSE)</f>
        <v>South</v>
      </c>
      <c r="N1663">
        <f>VLOOKUP(D1663, Products!$A$2:$F$61, 4, FALSE)</f>
        <v>1728</v>
      </c>
    </row>
    <row r="1664" spans="1:14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 t="str">
        <f>VLOOKUP(D1664, Products!$A$2:$F$61, 3, FALSE)</f>
        <v>Beauty</v>
      </c>
      <c r="M1664" t="str">
        <f>VLOOKUP(E1660, Sales_Reps!$A$2:$E$31, 3, FALSE)</f>
        <v>East</v>
      </c>
      <c r="N1664">
        <f>VLOOKUP(D1664, Products!$A$2:$F$61, 4, FALSE)</f>
        <v>1219</v>
      </c>
    </row>
    <row r="1665" spans="1:14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 t="str">
        <f>VLOOKUP(D1665, Products!$A$2:$F$61, 3, FALSE)</f>
        <v>Grocery</v>
      </c>
      <c r="M1665" t="str">
        <f>VLOOKUP(E1661, Sales_Reps!$A$2:$E$31, 3, FALSE)</f>
        <v>West</v>
      </c>
      <c r="N1665">
        <f>VLOOKUP(D1665, Products!$A$2:$F$61, 4, FALSE)</f>
        <v>2214</v>
      </c>
    </row>
    <row r="1666" spans="1:14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 t="str">
        <f>VLOOKUP(D1666, Products!$A$2:$F$61, 3, FALSE)</f>
        <v>Electronics</v>
      </c>
      <c r="M1666" t="str">
        <f>VLOOKUP(E1662, Sales_Reps!$A$2:$E$31, 3, FALSE)</f>
        <v>East</v>
      </c>
      <c r="N1666">
        <f>VLOOKUP(D1666, Products!$A$2:$F$61, 4, FALSE)</f>
        <v>1149</v>
      </c>
    </row>
    <row r="1667" spans="1:14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 t="str">
        <f>VLOOKUP(D1667, Products!$A$2:$F$61, 3, FALSE)</f>
        <v>Home</v>
      </c>
      <c r="M1667" t="str">
        <f>VLOOKUP(E1663, Sales_Reps!$A$2:$E$31, 3, FALSE)</f>
        <v>North</v>
      </c>
      <c r="N1667">
        <f>VLOOKUP(D1667, Products!$A$2:$F$61, 4, FALSE)</f>
        <v>288</v>
      </c>
    </row>
    <row r="1668" spans="1:14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 t="str">
        <f>VLOOKUP(D1668, Products!$A$2:$F$61, 3, FALSE)</f>
        <v>Grocery</v>
      </c>
      <c r="M1668" t="str">
        <f>VLOOKUP(E1664, Sales_Reps!$A$2:$E$31, 3, FALSE)</f>
        <v>West</v>
      </c>
      <c r="N1668">
        <f>VLOOKUP(D1668, Products!$A$2:$F$61, 4, FALSE)</f>
        <v>1203</v>
      </c>
    </row>
    <row r="1669" spans="1:14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 t="str">
        <f>VLOOKUP(D1669, Products!$A$2:$F$61, 3, FALSE)</f>
        <v>Home</v>
      </c>
      <c r="M1669" t="str">
        <f>VLOOKUP(E1665, Sales_Reps!$A$2:$E$31, 3, FALSE)</f>
        <v>North</v>
      </c>
      <c r="N1669">
        <f>VLOOKUP(D1669, Products!$A$2:$F$61, 4, FALSE)</f>
        <v>329</v>
      </c>
    </row>
    <row r="1670" spans="1:14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 t="str">
        <f>VLOOKUP(D1670, Products!$A$2:$F$61, 3, FALSE)</f>
        <v>Sports</v>
      </c>
      <c r="M1670" t="str">
        <f>VLOOKUP(E1666, Sales_Reps!$A$2:$E$31, 3, FALSE)</f>
        <v>South</v>
      </c>
      <c r="N1670">
        <f>VLOOKUP(D1670, Products!$A$2:$F$61, 4, FALSE)</f>
        <v>705</v>
      </c>
    </row>
    <row r="1671" spans="1:14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 t="str">
        <f>VLOOKUP(D1671, Products!$A$2:$F$61, 3, FALSE)</f>
        <v>Beauty</v>
      </c>
      <c r="M1671" t="str">
        <f>VLOOKUP(E1667, Sales_Reps!$A$2:$E$31, 3, FALSE)</f>
        <v>North</v>
      </c>
      <c r="N1671">
        <f>VLOOKUP(D1671, Products!$A$2:$F$61, 4, FALSE)</f>
        <v>2237</v>
      </c>
    </row>
    <row r="1672" spans="1:14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 t="str">
        <f>VLOOKUP(D1672, Products!$A$2:$F$61, 3, FALSE)</f>
        <v>Apparel</v>
      </c>
      <c r="M1672" t="str">
        <f>VLOOKUP(E1668, Sales_Reps!$A$2:$E$31, 3, FALSE)</f>
        <v>North</v>
      </c>
      <c r="N1672">
        <f>VLOOKUP(D1672, Products!$A$2:$F$61, 4, FALSE)</f>
        <v>1886</v>
      </c>
    </row>
    <row r="1673" spans="1:14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 t="str">
        <f>VLOOKUP(D1673, Products!$A$2:$F$61, 3, FALSE)</f>
        <v>Beauty</v>
      </c>
      <c r="M1673" t="str">
        <f>VLOOKUP(E1669, Sales_Reps!$A$2:$E$31, 3, FALSE)</f>
        <v>South</v>
      </c>
      <c r="N1673">
        <f>VLOOKUP(D1673, Products!$A$2:$F$61, 4, FALSE)</f>
        <v>647</v>
      </c>
    </row>
    <row r="1674" spans="1:14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 t="str">
        <f>VLOOKUP(D1674, Products!$A$2:$F$61, 3, FALSE)</f>
        <v>Beauty</v>
      </c>
      <c r="M1674" t="str">
        <f>VLOOKUP(E1670, Sales_Reps!$A$2:$E$31, 3, FALSE)</f>
        <v>North</v>
      </c>
      <c r="N1674">
        <f>VLOOKUP(D1674, Products!$A$2:$F$61, 4, FALSE)</f>
        <v>2420</v>
      </c>
    </row>
    <row r="1675" spans="1:14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 t="str">
        <f>VLOOKUP(D1675, Products!$A$2:$F$61, 3, FALSE)</f>
        <v>Grocery</v>
      </c>
      <c r="M1675" t="str">
        <f>VLOOKUP(E1671, Sales_Reps!$A$2:$E$31, 3, FALSE)</f>
        <v>South</v>
      </c>
      <c r="N1675">
        <f>VLOOKUP(D1675, Products!$A$2:$F$61, 4, FALSE)</f>
        <v>1182</v>
      </c>
    </row>
    <row r="1676" spans="1:14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 t="str">
        <f>VLOOKUP(D1676, Products!$A$2:$F$61, 3, FALSE)</f>
        <v>Home</v>
      </c>
      <c r="M1676" t="str">
        <f>VLOOKUP(E1672, Sales_Reps!$A$2:$E$31, 3, FALSE)</f>
        <v>North</v>
      </c>
      <c r="N1676">
        <f>VLOOKUP(D1676, Products!$A$2:$F$61, 4, FALSE)</f>
        <v>2135</v>
      </c>
    </row>
    <row r="1677" spans="1:14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 t="str">
        <f>VLOOKUP(D1677, Products!$A$2:$F$61, 3, FALSE)</f>
        <v>Home</v>
      </c>
      <c r="M1677" t="str">
        <f>VLOOKUP(E1673, Sales_Reps!$A$2:$E$31, 3, FALSE)</f>
        <v>North</v>
      </c>
      <c r="N1677">
        <f>VLOOKUP(D1677, Products!$A$2:$F$61, 4, FALSE)</f>
        <v>1556</v>
      </c>
    </row>
    <row r="1678" spans="1:14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 t="str">
        <f>VLOOKUP(D1678, Products!$A$2:$F$61, 3, FALSE)</f>
        <v>Sports</v>
      </c>
      <c r="M1678" t="str">
        <f>VLOOKUP(E1674, Sales_Reps!$A$2:$E$31, 3, FALSE)</f>
        <v>West</v>
      </c>
      <c r="N1678">
        <f>VLOOKUP(D1678, Products!$A$2:$F$61, 4, FALSE)</f>
        <v>302</v>
      </c>
    </row>
    <row r="1679" spans="1:14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 t="str">
        <f>VLOOKUP(D1679, Products!$A$2:$F$61, 3, FALSE)</f>
        <v>Beauty</v>
      </c>
      <c r="M1679" t="str">
        <f>VLOOKUP(E1675, Sales_Reps!$A$2:$E$31, 3, FALSE)</f>
        <v>West</v>
      </c>
      <c r="N1679">
        <f>VLOOKUP(D1679, Products!$A$2:$F$61, 4, FALSE)</f>
        <v>1219</v>
      </c>
    </row>
    <row r="1680" spans="1:14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 t="str">
        <f>VLOOKUP(D1680, Products!$A$2:$F$61, 3, FALSE)</f>
        <v>Electronics</v>
      </c>
      <c r="M1680" t="str">
        <f>VLOOKUP(E1676, Sales_Reps!$A$2:$E$31, 3, FALSE)</f>
        <v>North</v>
      </c>
      <c r="N1680">
        <f>VLOOKUP(D1680, Products!$A$2:$F$61, 4, FALSE)</f>
        <v>861</v>
      </c>
    </row>
    <row r="1681" spans="1:14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 t="str">
        <f>VLOOKUP(D1681, Products!$A$2:$F$61, 3, FALSE)</f>
        <v>Sports</v>
      </c>
      <c r="M1681" t="str">
        <f>VLOOKUP(E1677, Sales_Reps!$A$2:$E$31, 3, FALSE)</f>
        <v>North</v>
      </c>
      <c r="N1681">
        <f>VLOOKUP(D1681, Products!$A$2:$F$61, 4, FALSE)</f>
        <v>2028</v>
      </c>
    </row>
    <row r="1682" spans="1:14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 t="str">
        <f>VLOOKUP(D1682, Products!$A$2:$F$61, 3, FALSE)</f>
        <v>Beauty</v>
      </c>
      <c r="M1682" t="str">
        <f>VLOOKUP(E1678, Sales_Reps!$A$2:$E$31, 3, FALSE)</f>
        <v>East</v>
      </c>
      <c r="N1682">
        <f>VLOOKUP(D1682, Products!$A$2:$F$61, 4, FALSE)</f>
        <v>2420</v>
      </c>
    </row>
    <row r="1683" spans="1:14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 t="str">
        <f>VLOOKUP(D1683, Products!$A$2:$F$61, 3, FALSE)</f>
        <v>Sports</v>
      </c>
      <c r="M1683" t="str">
        <f>VLOOKUP(E1679, Sales_Reps!$A$2:$E$31, 3, FALSE)</f>
        <v>West</v>
      </c>
      <c r="N1683">
        <f>VLOOKUP(D1683, Products!$A$2:$F$61, 4, FALSE)</f>
        <v>2265</v>
      </c>
    </row>
    <row r="1684" spans="1:14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 t="str">
        <f>VLOOKUP(D1684, Products!$A$2:$F$61, 3, FALSE)</f>
        <v>Home</v>
      </c>
      <c r="M1684" t="str">
        <f>VLOOKUP(E1680, Sales_Reps!$A$2:$E$31, 3, FALSE)</f>
        <v>West</v>
      </c>
      <c r="N1684">
        <f>VLOOKUP(D1684, Products!$A$2:$F$61, 4, FALSE)</f>
        <v>519</v>
      </c>
    </row>
    <row r="1685" spans="1:14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 t="str">
        <f>VLOOKUP(D1685, Products!$A$2:$F$61, 3, FALSE)</f>
        <v>Sports</v>
      </c>
      <c r="M1685" t="str">
        <f>VLOOKUP(E1681, Sales_Reps!$A$2:$E$31, 3, FALSE)</f>
        <v>North</v>
      </c>
      <c r="N1685">
        <f>VLOOKUP(D1685, Products!$A$2:$F$61, 4, FALSE)</f>
        <v>2028</v>
      </c>
    </row>
    <row r="1686" spans="1:14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 t="str">
        <f>VLOOKUP(D1686, Products!$A$2:$F$61, 3, FALSE)</f>
        <v>Beauty</v>
      </c>
      <c r="M1686" t="str">
        <f>VLOOKUP(E1682, Sales_Reps!$A$2:$E$31, 3, FALSE)</f>
        <v>East</v>
      </c>
      <c r="N1686">
        <f>VLOOKUP(D1686, Products!$A$2:$F$61, 4, FALSE)</f>
        <v>1626</v>
      </c>
    </row>
    <row r="1687" spans="1:14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 t="str">
        <f>VLOOKUP(D1687, Products!$A$2:$F$61, 3, FALSE)</f>
        <v>Sports</v>
      </c>
      <c r="M1687" t="str">
        <f>VLOOKUP(E1683, Sales_Reps!$A$2:$E$31, 3, FALSE)</f>
        <v>East</v>
      </c>
      <c r="N1687">
        <f>VLOOKUP(D1687, Products!$A$2:$F$61, 4, FALSE)</f>
        <v>705</v>
      </c>
    </row>
    <row r="1688" spans="1:14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 t="str">
        <f>VLOOKUP(D1688, Products!$A$2:$F$61, 3, FALSE)</f>
        <v>Electronics</v>
      </c>
      <c r="M1688" t="str">
        <f>VLOOKUP(E1684, Sales_Reps!$A$2:$E$31, 3, FALSE)</f>
        <v>West</v>
      </c>
      <c r="N1688">
        <f>VLOOKUP(D1688, Products!$A$2:$F$61, 4, FALSE)</f>
        <v>1559</v>
      </c>
    </row>
    <row r="1689" spans="1:14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 t="str">
        <f>VLOOKUP(D1689, Products!$A$2:$F$61, 3, FALSE)</f>
        <v>Apparel</v>
      </c>
      <c r="M1689" t="str">
        <f>VLOOKUP(E1685, Sales_Reps!$A$2:$E$31, 3, FALSE)</f>
        <v>East</v>
      </c>
      <c r="N1689">
        <f>VLOOKUP(D1689, Products!$A$2:$F$61, 4, FALSE)</f>
        <v>1886</v>
      </c>
    </row>
    <row r="1690" spans="1:14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 t="str">
        <f>VLOOKUP(D1690, Products!$A$2:$F$61, 3, FALSE)</f>
        <v>Beauty</v>
      </c>
      <c r="M1690" t="str">
        <f>VLOOKUP(E1686, Sales_Reps!$A$2:$E$31, 3, FALSE)</f>
        <v>South</v>
      </c>
      <c r="N1690">
        <f>VLOOKUP(D1690, Products!$A$2:$F$61, 4, FALSE)</f>
        <v>2420</v>
      </c>
    </row>
    <row r="1691" spans="1:14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 t="str">
        <f>VLOOKUP(D1691, Products!$A$2:$F$61, 3, FALSE)</f>
        <v>Beauty</v>
      </c>
      <c r="M1691" t="str">
        <f>VLOOKUP(E1687, Sales_Reps!$A$2:$E$31, 3, FALSE)</f>
        <v>West</v>
      </c>
      <c r="N1691">
        <f>VLOOKUP(D1691, Products!$A$2:$F$61, 4, FALSE)</f>
        <v>675</v>
      </c>
    </row>
    <row r="1692" spans="1:14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 t="str">
        <f>VLOOKUP(D1692, Products!$A$2:$F$61, 3, FALSE)</f>
        <v>Sports</v>
      </c>
      <c r="M1692" t="str">
        <f>VLOOKUP(E1688, Sales_Reps!$A$2:$E$31, 3, FALSE)</f>
        <v>West</v>
      </c>
      <c r="N1692">
        <f>VLOOKUP(D1692, Products!$A$2:$F$61, 4, FALSE)</f>
        <v>2827</v>
      </c>
    </row>
    <row r="1693" spans="1:14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 t="str">
        <f>VLOOKUP(D1693, Products!$A$2:$F$61, 3, FALSE)</f>
        <v>Sports</v>
      </c>
      <c r="M1693" t="str">
        <f>VLOOKUP(E1689, Sales_Reps!$A$2:$E$31, 3, FALSE)</f>
        <v>East</v>
      </c>
      <c r="N1693">
        <f>VLOOKUP(D1693, Products!$A$2:$F$61, 4, FALSE)</f>
        <v>974</v>
      </c>
    </row>
    <row r="1694" spans="1:14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 t="str">
        <f>VLOOKUP(D1694, Products!$A$2:$F$61, 3, FALSE)</f>
        <v>Sports</v>
      </c>
      <c r="M1694" t="str">
        <f>VLOOKUP(E1690, Sales_Reps!$A$2:$E$31, 3, FALSE)</f>
        <v>West</v>
      </c>
      <c r="N1694">
        <f>VLOOKUP(D1694, Products!$A$2:$F$61, 4, FALSE)</f>
        <v>2265</v>
      </c>
    </row>
    <row r="1695" spans="1:14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 t="str">
        <f>VLOOKUP(D1695, Products!$A$2:$F$61, 3, FALSE)</f>
        <v>Electronics</v>
      </c>
      <c r="M1695" t="str">
        <f>VLOOKUP(E1691, Sales_Reps!$A$2:$E$31, 3, FALSE)</f>
        <v>East</v>
      </c>
      <c r="N1695">
        <f>VLOOKUP(D1695, Products!$A$2:$F$61, 4, FALSE)</f>
        <v>517</v>
      </c>
    </row>
    <row r="1696" spans="1:14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 t="str">
        <f>VLOOKUP(D1696, Products!$A$2:$F$61, 3, FALSE)</f>
        <v>Home</v>
      </c>
      <c r="M1696" t="str">
        <f>VLOOKUP(E1692, Sales_Reps!$A$2:$E$31, 3, FALSE)</f>
        <v>East</v>
      </c>
      <c r="N1696">
        <f>VLOOKUP(D1696, Products!$A$2:$F$61, 4, FALSE)</f>
        <v>464</v>
      </c>
    </row>
    <row r="1697" spans="1:14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 t="str">
        <f>VLOOKUP(D1697, Products!$A$2:$F$61, 3, FALSE)</f>
        <v>Grocery</v>
      </c>
      <c r="M1697" t="str">
        <f>VLOOKUP(E1693, Sales_Reps!$A$2:$E$31, 3, FALSE)</f>
        <v>South</v>
      </c>
      <c r="N1697">
        <f>VLOOKUP(D1697, Products!$A$2:$F$61, 4, FALSE)</f>
        <v>1435</v>
      </c>
    </row>
    <row r="1698" spans="1:14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 t="str">
        <f>VLOOKUP(D1698, Products!$A$2:$F$61, 3, FALSE)</f>
        <v>Electronics</v>
      </c>
      <c r="M1698" t="str">
        <f>VLOOKUP(E1694, Sales_Reps!$A$2:$E$31, 3, FALSE)</f>
        <v>East</v>
      </c>
      <c r="N1698">
        <f>VLOOKUP(D1698, Products!$A$2:$F$61, 4, FALSE)</f>
        <v>1665</v>
      </c>
    </row>
    <row r="1699" spans="1:14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 t="str">
        <f>VLOOKUP(D1699, Products!$A$2:$F$61, 3, FALSE)</f>
        <v>Electronics</v>
      </c>
      <c r="M1699" t="str">
        <f>VLOOKUP(E1695, Sales_Reps!$A$2:$E$31, 3, FALSE)</f>
        <v>North</v>
      </c>
      <c r="N1699">
        <f>VLOOKUP(D1699, Products!$A$2:$F$61, 4, FALSE)</f>
        <v>517</v>
      </c>
    </row>
    <row r="1700" spans="1:14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 t="str">
        <f>VLOOKUP(D1700, Products!$A$2:$F$61, 3, FALSE)</f>
        <v>Sports</v>
      </c>
      <c r="M1700" t="str">
        <f>VLOOKUP(E1696, Sales_Reps!$A$2:$E$31, 3, FALSE)</f>
        <v>East</v>
      </c>
      <c r="N1700">
        <f>VLOOKUP(D1700, Products!$A$2:$F$61, 4, FALSE)</f>
        <v>2467</v>
      </c>
    </row>
    <row r="1701" spans="1:14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 t="str">
        <f>VLOOKUP(D1701, Products!$A$2:$F$61, 3, FALSE)</f>
        <v>Grocery</v>
      </c>
      <c r="M1701" t="str">
        <f>VLOOKUP(E1697, Sales_Reps!$A$2:$E$31, 3, FALSE)</f>
        <v>East</v>
      </c>
      <c r="N1701">
        <f>VLOOKUP(D1701, Products!$A$2:$F$61, 4, FALSE)</f>
        <v>1010</v>
      </c>
    </row>
    <row r="1702" spans="1:14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 t="str">
        <f>VLOOKUP(D1702, Products!$A$2:$F$61, 3, FALSE)</f>
        <v>Apparel</v>
      </c>
      <c r="M1702" t="str">
        <f>VLOOKUP(E1698, Sales_Reps!$A$2:$E$31, 3, FALSE)</f>
        <v>West</v>
      </c>
      <c r="N1702">
        <f>VLOOKUP(D1702, Products!$A$2:$F$61, 4, FALSE)</f>
        <v>1173</v>
      </c>
    </row>
    <row r="1703" spans="1:14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 t="str">
        <f>VLOOKUP(D1703, Products!$A$2:$F$61, 3, FALSE)</f>
        <v>Home</v>
      </c>
      <c r="M1703" t="str">
        <f>VLOOKUP(E1699, Sales_Reps!$A$2:$E$31, 3, FALSE)</f>
        <v>North</v>
      </c>
      <c r="N1703">
        <f>VLOOKUP(D1703, Products!$A$2:$F$61, 4, FALSE)</f>
        <v>1556</v>
      </c>
    </row>
    <row r="1704" spans="1:14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 t="str">
        <f>VLOOKUP(D1704, Products!$A$2:$F$61, 3, FALSE)</f>
        <v>Sports</v>
      </c>
      <c r="M1704" t="str">
        <f>VLOOKUP(E1700, Sales_Reps!$A$2:$E$31, 3, FALSE)</f>
        <v>West</v>
      </c>
      <c r="N1704">
        <f>VLOOKUP(D1704, Products!$A$2:$F$61, 4, FALSE)</f>
        <v>974</v>
      </c>
    </row>
    <row r="1705" spans="1:14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 t="str">
        <f>VLOOKUP(D1705, Products!$A$2:$F$61, 3, FALSE)</f>
        <v>Sports</v>
      </c>
      <c r="M1705" t="str">
        <f>VLOOKUP(E1701, Sales_Reps!$A$2:$E$31, 3, FALSE)</f>
        <v>North</v>
      </c>
      <c r="N1705">
        <f>VLOOKUP(D1705, Products!$A$2:$F$61, 4, FALSE)</f>
        <v>2265</v>
      </c>
    </row>
    <row r="1706" spans="1:14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 t="str">
        <f>VLOOKUP(D1706, Products!$A$2:$F$61, 3, FALSE)</f>
        <v>Electronics</v>
      </c>
      <c r="M1706" t="str">
        <f>VLOOKUP(E1702, Sales_Reps!$A$2:$E$31, 3, FALSE)</f>
        <v>West</v>
      </c>
      <c r="N1706">
        <f>VLOOKUP(D1706, Products!$A$2:$F$61, 4, FALSE)</f>
        <v>1052</v>
      </c>
    </row>
    <row r="1707" spans="1:14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 t="str">
        <f>VLOOKUP(D1707, Products!$A$2:$F$61, 3, FALSE)</f>
        <v>Grocery</v>
      </c>
      <c r="M1707" t="str">
        <f>VLOOKUP(E1703, Sales_Reps!$A$2:$E$31, 3, FALSE)</f>
        <v>East</v>
      </c>
      <c r="N1707">
        <f>VLOOKUP(D1707, Products!$A$2:$F$61, 4, FALSE)</f>
        <v>2911</v>
      </c>
    </row>
    <row r="1708" spans="1:14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 t="str">
        <f>VLOOKUP(D1708, Products!$A$2:$F$61, 3, FALSE)</f>
        <v>Electronics</v>
      </c>
      <c r="M1708" t="str">
        <f>VLOOKUP(E1704, Sales_Reps!$A$2:$E$31, 3, FALSE)</f>
        <v>North</v>
      </c>
      <c r="N1708">
        <f>VLOOKUP(D1708, Products!$A$2:$F$61, 4, FALSE)</f>
        <v>2405</v>
      </c>
    </row>
    <row r="1709" spans="1:14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 t="str">
        <f>VLOOKUP(D1709, Products!$A$2:$F$61, 3, FALSE)</f>
        <v>Beauty</v>
      </c>
      <c r="M1709" t="str">
        <f>VLOOKUP(E1705, Sales_Reps!$A$2:$E$31, 3, FALSE)</f>
        <v>North</v>
      </c>
      <c r="N1709">
        <f>VLOOKUP(D1709, Products!$A$2:$F$61, 4, FALSE)</f>
        <v>1728</v>
      </c>
    </row>
    <row r="1710" spans="1:14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 t="str">
        <f>VLOOKUP(D1710, Products!$A$2:$F$61, 3, FALSE)</f>
        <v>Apparel</v>
      </c>
      <c r="M1710" t="str">
        <f>VLOOKUP(E1706, Sales_Reps!$A$2:$E$31, 3, FALSE)</f>
        <v>East</v>
      </c>
      <c r="N1710">
        <f>VLOOKUP(D1710, Products!$A$2:$F$61, 4, FALSE)</f>
        <v>1075</v>
      </c>
    </row>
    <row r="1711" spans="1:14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 t="str">
        <f>VLOOKUP(D1711, Products!$A$2:$F$61, 3, FALSE)</f>
        <v>Beauty</v>
      </c>
      <c r="M1711" t="str">
        <f>VLOOKUP(E1707, Sales_Reps!$A$2:$E$31, 3, FALSE)</f>
        <v>North</v>
      </c>
      <c r="N1711">
        <f>VLOOKUP(D1711, Products!$A$2:$F$61, 4, FALSE)</f>
        <v>1626</v>
      </c>
    </row>
    <row r="1712" spans="1:14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 t="str">
        <f>VLOOKUP(D1712, Products!$A$2:$F$61, 3, FALSE)</f>
        <v>Apparel</v>
      </c>
      <c r="M1712" t="str">
        <f>VLOOKUP(E1708, Sales_Reps!$A$2:$E$31, 3, FALSE)</f>
        <v>East</v>
      </c>
      <c r="N1712">
        <f>VLOOKUP(D1712, Products!$A$2:$F$61, 4, FALSE)</f>
        <v>391</v>
      </c>
    </row>
    <row r="1713" spans="1:14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 t="str">
        <f>VLOOKUP(D1713, Products!$A$2:$F$61, 3, FALSE)</f>
        <v>Apparel</v>
      </c>
      <c r="M1713" t="str">
        <f>VLOOKUP(E1709, Sales_Reps!$A$2:$E$31, 3, FALSE)</f>
        <v>West</v>
      </c>
      <c r="N1713">
        <f>VLOOKUP(D1713, Products!$A$2:$F$61, 4, FALSE)</f>
        <v>1886</v>
      </c>
    </row>
    <row r="1714" spans="1:14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 t="str">
        <f>VLOOKUP(D1714, Products!$A$2:$F$61, 3, FALSE)</f>
        <v>Grocery</v>
      </c>
      <c r="M1714" t="str">
        <f>VLOOKUP(E1710, Sales_Reps!$A$2:$E$31, 3, FALSE)</f>
        <v>South</v>
      </c>
      <c r="N1714">
        <f>VLOOKUP(D1714, Products!$A$2:$F$61, 4, FALSE)</f>
        <v>2214</v>
      </c>
    </row>
    <row r="1715" spans="1:14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 t="str">
        <f>VLOOKUP(D1715, Products!$A$2:$F$61, 3, FALSE)</f>
        <v>Apparel</v>
      </c>
      <c r="M1715" t="str">
        <f>VLOOKUP(E1711, Sales_Reps!$A$2:$E$31, 3, FALSE)</f>
        <v>East</v>
      </c>
      <c r="N1715">
        <f>VLOOKUP(D1715, Products!$A$2:$F$61, 4, FALSE)</f>
        <v>391</v>
      </c>
    </row>
    <row r="1716" spans="1:14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 t="str">
        <f>VLOOKUP(D1716, Products!$A$2:$F$61, 3, FALSE)</f>
        <v>Grocery</v>
      </c>
      <c r="M1716" t="str">
        <f>VLOOKUP(E1712, Sales_Reps!$A$2:$E$31, 3, FALSE)</f>
        <v>West</v>
      </c>
      <c r="N1716">
        <f>VLOOKUP(D1716, Products!$A$2:$F$61, 4, FALSE)</f>
        <v>1182</v>
      </c>
    </row>
    <row r="1717" spans="1:14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 t="str">
        <f>VLOOKUP(D1717, Products!$A$2:$F$61, 3, FALSE)</f>
        <v>Electronics</v>
      </c>
      <c r="M1717" t="str">
        <f>VLOOKUP(E1713, Sales_Reps!$A$2:$E$31, 3, FALSE)</f>
        <v>West</v>
      </c>
      <c r="N1717">
        <f>VLOOKUP(D1717, Products!$A$2:$F$61, 4, FALSE)</f>
        <v>1559</v>
      </c>
    </row>
    <row r="1718" spans="1:14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 t="str">
        <f>VLOOKUP(D1718, Products!$A$2:$F$61, 3, FALSE)</f>
        <v>Electronics</v>
      </c>
      <c r="M1718" t="str">
        <f>VLOOKUP(E1714, Sales_Reps!$A$2:$E$31, 3, FALSE)</f>
        <v>South</v>
      </c>
      <c r="N1718">
        <f>VLOOKUP(D1718, Products!$A$2:$F$61, 4, FALSE)</f>
        <v>128</v>
      </c>
    </row>
    <row r="1719" spans="1:14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 t="str">
        <f>VLOOKUP(D1719, Products!$A$2:$F$61, 3, FALSE)</f>
        <v>Beauty</v>
      </c>
      <c r="M1719" t="str">
        <f>VLOOKUP(E1715, Sales_Reps!$A$2:$E$31, 3, FALSE)</f>
        <v>West</v>
      </c>
      <c r="N1719">
        <f>VLOOKUP(D1719, Products!$A$2:$F$61, 4, FALSE)</f>
        <v>2237</v>
      </c>
    </row>
    <row r="1720" spans="1:14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 t="str">
        <f>VLOOKUP(D1720, Products!$A$2:$F$61, 3, FALSE)</f>
        <v>Grocery</v>
      </c>
      <c r="M1720" t="str">
        <f>VLOOKUP(E1716, Sales_Reps!$A$2:$E$31, 3, FALSE)</f>
        <v>East</v>
      </c>
      <c r="N1720">
        <f>VLOOKUP(D1720, Products!$A$2:$F$61, 4, FALSE)</f>
        <v>1435</v>
      </c>
    </row>
    <row r="1721" spans="1:14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 t="str">
        <f>VLOOKUP(D1721, Products!$A$2:$F$61, 3, FALSE)</f>
        <v>Electronics</v>
      </c>
      <c r="M1721" t="str">
        <f>VLOOKUP(E1717, Sales_Reps!$A$2:$E$31, 3, FALSE)</f>
        <v>South</v>
      </c>
      <c r="N1721">
        <f>VLOOKUP(D1721, Products!$A$2:$F$61, 4, FALSE)</f>
        <v>2405</v>
      </c>
    </row>
    <row r="1722" spans="1:14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 t="str">
        <f>VLOOKUP(D1722, Products!$A$2:$F$61, 3, FALSE)</f>
        <v>Sports</v>
      </c>
      <c r="M1722" t="str">
        <f>VLOOKUP(E1718, Sales_Reps!$A$2:$E$31, 3, FALSE)</f>
        <v>North</v>
      </c>
      <c r="N1722">
        <f>VLOOKUP(D1722, Products!$A$2:$F$61, 4, FALSE)</f>
        <v>516</v>
      </c>
    </row>
    <row r="1723" spans="1:14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 t="str">
        <f>VLOOKUP(D1723, Products!$A$2:$F$61, 3, FALSE)</f>
        <v>Electronics</v>
      </c>
      <c r="M1723" t="str">
        <f>VLOOKUP(E1719, Sales_Reps!$A$2:$E$31, 3, FALSE)</f>
        <v>West</v>
      </c>
      <c r="N1723">
        <f>VLOOKUP(D1723, Products!$A$2:$F$61, 4, FALSE)</f>
        <v>1259</v>
      </c>
    </row>
    <row r="1724" spans="1:14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 t="str">
        <f>VLOOKUP(D1724, Products!$A$2:$F$61, 3, FALSE)</f>
        <v>Electronics</v>
      </c>
      <c r="M1724" t="str">
        <f>VLOOKUP(E1720, Sales_Reps!$A$2:$E$31, 3, FALSE)</f>
        <v>South</v>
      </c>
      <c r="N1724">
        <f>VLOOKUP(D1724, Products!$A$2:$F$61, 4, FALSE)</f>
        <v>2865</v>
      </c>
    </row>
    <row r="1725" spans="1:14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 t="str">
        <f>VLOOKUP(D1725, Products!$A$2:$F$61, 3, FALSE)</f>
        <v>Apparel</v>
      </c>
      <c r="M1725" t="str">
        <f>VLOOKUP(E1721, Sales_Reps!$A$2:$E$31, 3, FALSE)</f>
        <v>North</v>
      </c>
      <c r="N1725">
        <f>VLOOKUP(D1725, Products!$A$2:$F$61, 4, FALSE)</f>
        <v>2509</v>
      </c>
    </row>
    <row r="1726" spans="1:14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 t="str">
        <f>VLOOKUP(D1726, Products!$A$2:$F$61, 3, FALSE)</f>
        <v>Grocery</v>
      </c>
      <c r="M1726" t="str">
        <f>VLOOKUP(E1722, Sales_Reps!$A$2:$E$31, 3, FALSE)</f>
        <v>South</v>
      </c>
      <c r="N1726">
        <f>VLOOKUP(D1726, Products!$A$2:$F$61, 4, FALSE)</f>
        <v>1412</v>
      </c>
    </row>
    <row r="1727" spans="1:14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 t="str">
        <f>VLOOKUP(D1727, Products!$A$2:$F$61, 3, FALSE)</f>
        <v>Grocery</v>
      </c>
      <c r="M1727" t="str">
        <f>VLOOKUP(E1723, Sales_Reps!$A$2:$E$31, 3, FALSE)</f>
        <v>East</v>
      </c>
      <c r="N1727">
        <f>VLOOKUP(D1727, Products!$A$2:$F$61, 4, FALSE)</f>
        <v>1412</v>
      </c>
    </row>
    <row r="1728" spans="1:14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 t="str">
        <f>VLOOKUP(D1728, Products!$A$2:$F$61, 3, FALSE)</f>
        <v>Home</v>
      </c>
      <c r="M1728" t="str">
        <f>VLOOKUP(E1724, Sales_Reps!$A$2:$E$31, 3, FALSE)</f>
        <v>South</v>
      </c>
      <c r="N1728">
        <f>VLOOKUP(D1728, Products!$A$2:$F$61, 4, FALSE)</f>
        <v>1850</v>
      </c>
    </row>
    <row r="1729" spans="1:14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 t="str">
        <f>VLOOKUP(D1729, Products!$A$2:$F$61, 3, FALSE)</f>
        <v>Sports</v>
      </c>
      <c r="M1729" t="str">
        <f>VLOOKUP(E1725, Sales_Reps!$A$2:$E$31, 3, FALSE)</f>
        <v>North</v>
      </c>
      <c r="N1729">
        <f>VLOOKUP(D1729, Products!$A$2:$F$61, 4, FALSE)</f>
        <v>147</v>
      </c>
    </row>
    <row r="1730" spans="1:14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 t="str">
        <f>VLOOKUP(D1730, Products!$A$2:$F$61, 3, FALSE)</f>
        <v>Home</v>
      </c>
      <c r="M1730" t="str">
        <f>VLOOKUP(E1726, Sales_Reps!$A$2:$E$31, 3, FALSE)</f>
        <v>East</v>
      </c>
      <c r="N1730">
        <f>VLOOKUP(D1730, Products!$A$2:$F$61, 4, FALSE)</f>
        <v>1143</v>
      </c>
    </row>
    <row r="1731" spans="1:14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 t="str">
        <f>VLOOKUP(D1731, Products!$A$2:$F$61, 3, FALSE)</f>
        <v>Grocery</v>
      </c>
      <c r="M1731" t="str">
        <f>VLOOKUP(E1727, Sales_Reps!$A$2:$E$31, 3, FALSE)</f>
        <v>South</v>
      </c>
      <c r="N1731">
        <f>VLOOKUP(D1731, Products!$A$2:$F$61, 4, FALSE)</f>
        <v>2027</v>
      </c>
    </row>
    <row r="1732" spans="1:14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 t="str">
        <f>VLOOKUP(D1732, Products!$A$2:$F$61, 3, FALSE)</f>
        <v>Beauty</v>
      </c>
      <c r="M1732" t="str">
        <f>VLOOKUP(E1728, Sales_Reps!$A$2:$E$31, 3, FALSE)</f>
        <v>South</v>
      </c>
      <c r="N1732">
        <f>VLOOKUP(D1732, Products!$A$2:$F$61, 4, FALSE)</f>
        <v>1219</v>
      </c>
    </row>
    <row r="1733" spans="1:14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 t="str">
        <f>VLOOKUP(D1733, Products!$A$2:$F$61, 3, FALSE)</f>
        <v>Home</v>
      </c>
      <c r="M1733" t="str">
        <f>VLOOKUP(E1729, Sales_Reps!$A$2:$E$31, 3, FALSE)</f>
        <v>East</v>
      </c>
      <c r="N1733">
        <f>VLOOKUP(D1733, Products!$A$2:$F$61, 4, FALSE)</f>
        <v>2135</v>
      </c>
    </row>
    <row r="1734" spans="1:14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 t="str">
        <f>VLOOKUP(D1734, Products!$A$2:$F$61, 3, FALSE)</f>
        <v>Apparel</v>
      </c>
      <c r="M1734" t="str">
        <f>VLOOKUP(E1730, Sales_Reps!$A$2:$E$31, 3, FALSE)</f>
        <v>West</v>
      </c>
      <c r="N1734">
        <f>VLOOKUP(D1734, Products!$A$2:$F$61, 4, FALSE)</f>
        <v>396</v>
      </c>
    </row>
    <row r="1735" spans="1:14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 t="str">
        <f>VLOOKUP(D1735, Products!$A$2:$F$61, 3, FALSE)</f>
        <v>Electronics</v>
      </c>
      <c r="M1735" t="str">
        <f>VLOOKUP(E1731, Sales_Reps!$A$2:$E$31, 3, FALSE)</f>
        <v>East</v>
      </c>
      <c r="N1735">
        <f>VLOOKUP(D1735, Products!$A$2:$F$61, 4, FALSE)</f>
        <v>1149</v>
      </c>
    </row>
    <row r="1736" spans="1:14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 t="str">
        <f>VLOOKUP(D1736, Products!$A$2:$F$61, 3, FALSE)</f>
        <v>Grocery</v>
      </c>
      <c r="M1736" t="str">
        <f>VLOOKUP(E1732, Sales_Reps!$A$2:$E$31, 3, FALSE)</f>
        <v>North</v>
      </c>
      <c r="N1736">
        <f>VLOOKUP(D1736, Products!$A$2:$F$61, 4, FALSE)</f>
        <v>2214</v>
      </c>
    </row>
    <row r="1737" spans="1:14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 t="str">
        <f>VLOOKUP(D1737, Products!$A$2:$F$61, 3, FALSE)</f>
        <v>Apparel</v>
      </c>
      <c r="M1737" t="str">
        <f>VLOOKUP(E1733, Sales_Reps!$A$2:$E$31, 3, FALSE)</f>
        <v>East</v>
      </c>
      <c r="N1737">
        <f>VLOOKUP(D1737, Products!$A$2:$F$61, 4, FALSE)</f>
        <v>391</v>
      </c>
    </row>
    <row r="1738" spans="1:14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 t="str">
        <f>VLOOKUP(D1738, Products!$A$2:$F$61, 3, FALSE)</f>
        <v>Apparel</v>
      </c>
      <c r="M1738" t="str">
        <f>VLOOKUP(E1734, Sales_Reps!$A$2:$E$31, 3, FALSE)</f>
        <v>North</v>
      </c>
      <c r="N1738">
        <f>VLOOKUP(D1738, Products!$A$2:$F$61, 4, FALSE)</f>
        <v>1173</v>
      </c>
    </row>
    <row r="1739" spans="1:14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 t="str">
        <f>VLOOKUP(D1739, Products!$A$2:$F$61, 3, FALSE)</f>
        <v>Beauty</v>
      </c>
      <c r="M1739" t="str">
        <f>VLOOKUP(E1735, Sales_Reps!$A$2:$E$31, 3, FALSE)</f>
        <v>South</v>
      </c>
      <c r="N1739">
        <f>VLOOKUP(D1739, Products!$A$2:$F$61, 4, FALSE)</f>
        <v>2617</v>
      </c>
    </row>
    <row r="1740" spans="1:14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 t="str">
        <f>VLOOKUP(D1740, Products!$A$2:$F$61, 3, FALSE)</f>
        <v>Sports</v>
      </c>
      <c r="M1740" t="str">
        <f>VLOOKUP(E1736, Sales_Reps!$A$2:$E$31, 3, FALSE)</f>
        <v>North</v>
      </c>
      <c r="N1740">
        <f>VLOOKUP(D1740, Products!$A$2:$F$61, 4, FALSE)</f>
        <v>147</v>
      </c>
    </row>
    <row r="1741" spans="1:14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 t="str">
        <f>VLOOKUP(D1741, Products!$A$2:$F$61, 3, FALSE)</f>
        <v>Sports</v>
      </c>
      <c r="M1741" t="str">
        <f>VLOOKUP(E1737, Sales_Reps!$A$2:$E$31, 3, FALSE)</f>
        <v>East</v>
      </c>
      <c r="N1741">
        <f>VLOOKUP(D1741, Products!$A$2:$F$61, 4, FALSE)</f>
        <v>1860</v>
      </c>
    </row>
    <row r="1742" spans="1:14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 t="str">
        <f>VLOOKUP(D1742, Products!$A$2:$F$61, 3, FALSE)</f>
        <v>Home</v>
      </c>
      <c r="M1742" t="str">
        <f>VLOOKUP(E1738, Sales_Reps!$A$2:$E$31, 3, FALSE)</f>
        <v>East</v>
      </c>
      <c r="N1742">
        <f>VLOOKUP(D1742, Products!$A$2:$F$61, 4, FALSE)</f>
        <v>1556</v>
      </c>
    </row>
    <row r="1743" spans="1:14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 t="str">
        <f>VLOOKUP(D1743, Products!$A$2:$F$61, 3, FALSE)</f>
        <v>Home</v>
      </c>
      <c r="M1743" t="str">
        <f>VLOOKUP(E1739, Sales_Reps!$A$2:$E$31, 3, FALSE)</f>
        <v>West</v>
      </c>
      <c r="N1743">
        <f>VLOOKUP(D1743, Products!$A$2:$F$61, 4, FALSE)</f>
        <v>1143</v>
      </c>
    </row>
    <row r="1744" spans="1:14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 t="str">
        <f>VLOOKUP(D1744, Products!$A$2:$F$61, 3, FALSE)</f>
        <v>Beauty</v>
      </c>
      <c r="M1744" t="str">
        <f>VLOOKUP(E1740, Sales_Reps!$A$2:$E$31, 3, FALSE)</f>
        <v>East</v>
      </c>
      <c r="N1744">
        <f>VLOOKUP(D1744, Products!$A$2:$F$61, 4, FALSE)</f>
        <v>2768</v>
      </c>
    </row>
    <row r="1745" spans="1:14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 t="str">
        <f>VLOOKUP(D1745, Products!$A$2:$F$61, 3, FALSE)</f>
        <v>Beauty</v>
      </c>
      <c r="M1745" t="str">
        <f>VLOOKUP(E1741, Sales_Reps!$A$2:$E$31, 3, FALSE)</f>
        <v>West</v>
      </c>
      <c r="N1745">
        <f>VLOOKUP(D1745, Products!$A$2:$F$61, 4, FALSE)</f>
        <v>1728</v>
      </c>
    </row>
    <row r="1746" spans="1:14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 t="str">
        <f>VLOOKUP(D1746, Products!$A$2:$F$61, 3, FALSE)</f>
        <v>Sports</v>
      </c>
      <c r="M1746" t="str">
        <f>VLOOKUP(E1742, Sales_Reps!$A$2:$E$31, 3, FALSE)</f>
        <v>North</v>
      </c>
      <c r="N1746">
        <f>VLOOKUP(D1746, Products!$A$2:$F$61, 4, FALSE)</f>
        <v>2028</v>
      </c>
    </row>
    <row r="1747" spans="1:14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 t="str">
        <f>VLOOKUP(D1747, Products!$A$2:$F$61, 3, FALSE)</f>
        <v>Beauty</v>
      </c>
      <c r="M1747" t="str">
        <f>VLOOKUP(E1743, Sales_Reps!$A$2:$E$31, 3, FALSE)</f>
        <v>North</v>
      </c>
      <c r="N1747">
        <f>VLOOKUP(D1747, Products!$A$2:$F$61, 4, FALSE)</f>
        <v>2420</v>
      </c>
    </row>
    <row r="1748" spans="1:14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 t="str">
        <f>VLOOKUP(D1748, Products!$A$2:$F$61, 3, FALSE)</f>
        <v>Grocery</v>
      </c>
      <c r="M1748" t="str">
        <f>VLOOKUP(E1744, Sales_Reps!$A$2:$E$31, 3, FALSE)</f>
        <v>South</v>
      </c>
      <c r="N1748">
        <f>VLOOKUP(D1748, Products!$A$2:$F$61, 4, FALSE)</f>
        <v>1203</v>
      </c>
    </row>
    <row r="1749" spans="1:14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 t="str">
        <f>VLOOKUP(D1749, Products!$A$2:$F$61, 3, FALSE)</f>
        <v>Grocery</v>
      </c>
      <c r="M1749" t="str">
        <f>VLOOKUP(E1745, Sales_Reps!$A$2:$E$31, 3, FALSE)</f>
        <v>East</v>
      </c>
      <c r="N1749">
        <f>VLOOKUP(D1749, Products!$A$2:$F$61, 4, FALSE)</f>
        <v>2214</v>
      </c>
    </row>
    <row r="1750" spans="1:14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 t="str">
        <f>VLOOKUP(D1750, Products!$A$2:$F$61, 3, FALSE)</f>
        <v>Beauty</v>
      </c>
      <c r="M1750" t="str">
        <f>VLOOKUP(E1746, Sales_Reps!$A$2:$E$31, 3, FALSE)</f>
        <v>West</v>
      </c>
      <c r="N1750">
        <f>VLOOKUP(D1750, Products!$A$2:$F$61, 4, FALSE)</f>
        <v>1626</v>
      </c>
    </row>
    <row r="1751" spans="1:14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 t="str">
        <f>VLOOKUP(D1751, Products!$A$2:$F$61, 3, FALSE)</f>
        <v>Home</v>
      </c>
      <c r="M1751" t="str">
        <f>VLOOKUP(E1747, Sales_Reps!$A$2:$E$31, 3, FALSE)</f>
        <v>East</v>
      </c>
      <c r="N1751">
        <f>VLOOKUP(D1751, Products!$A$2:$F$61, 4, FALSE)</f>
        <v>519</v>
      </c>
    </row>
    <row r="1752" spans="1:14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 t="str">
        <f>VLOOKUP(D1752, Products!$A$2:$F$61, 3, FALSE)</f>
        <v>Grocery</v>
      </c>
      <c r="M1752" t="str">
        <f>VLOOKUP(E1748, Sales_Reps!$A$2:$E$31, 3, FALSE)</f>
        <v>South</v>
      </c>
      <c r="N1752">
        <f>VLOOKUP(D1752, Products!$A$2:$F$61, 4, FALSE)</f>
        <v>1412</v>
      </c>
    </row>
    <row r="1753" spans="1:14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 t="str">
        <f>VLOOKUP(D1753, Products!$A$2:$F$61, 3, FALSE)</f>
        <v>Apparel</v>
      </c>
      <c r="M1753" t="str">
        <f>VLOOKUP(E1749, Sales_Reps!$A$2:$E$31, 3, FALSE)</f>
        <v>North</v>
      </c>
      <c r="N1753">
        <f>VLOOKUP(D1753, Products!$A$2:$F$61, 4, FALSE)</f>
        <v>396</v>
      </c>
    </row>
    <row r="1754" spans="1:14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 t="str">
        <f>VLOOKUP(D1754, Products!$A$2:$F$61, 3, FALSE)</f>
        <v>Grocery</v>
      </c>
      <c r="M1754" t="str">
        <f>VLOOKUP(E1750, Sales_Reps!$A$2:$E$31, 3, FALSE)</f>
        <v>North</v>
      </c>
      <c r="N1754">
        <f>VLOOKUP(D1754, Products!$A$2:$F$61, 4, FALSE)</f>
        <v>2911</v>
      </c>
    </row>
    <row r="1755" spans="1:14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 t="str">
        <f>VLOOKUP(D1755, Products!$A$2:$F$61, 3, FALSE)</f>
        <v>Grocery</v>
      </c>
      <c r="M1755" t="str">
        <f>VLOOKUP(E1751, Sales_Reps!$A$2:$E$31, 3, FALSE)</f>
        <v>South</v>
      </c>
      <c r="N1755">
        <f>VLOOKUP(D1755, Products!$A$2:$F$61, 4, FALSE)</f>
        <v>2436</v>
      </c>
    </row>
    <row r="1756" spans="1:14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 t="str">
        <f>VLOOKUP(D1756, Products!$A$2:$F$61, 3, FALSE)</f>
        <v>Grocery</v>
      </c>
      <c r="M1756" t="str">
        <f>VLOOKUP(E1752, Sales_Reps!$A$2:$E$31, 3, FALSE)</f>
        <v>South</v>
      </c>
      <c r="N1756">
        <f>VLOOKUP(D1756, Products!$A$2:$F$61, 4, FALSE)</f>
        <v>1182</v>
      </c>
    </row>
    <row r="1757" spans="1:14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 t="str">
        <f>VLOOKUP(D1757, Products!$A$2:$F$61, 3, FALSE)</f>
        <v>Grocery</v>
      </c>
      <c r="M1757" t="str">
        <f>VLOOKUP(E1753, Sales_Reps!$A$2:$E$31, 3, FALSE)</f>
        <v>South</v>
      </c>
      <c r="N1757">
        <f>VLOOKUP(D1757, Products!$A$2:$F$61, 4, FALSE)</f>
        <v>2027</v>
      </c>
    </row>
    <row r="1758" spans="1:14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 t="str">
        <f>VLOOKUP(D1758, Products!$A$2:$F$61, 3, FALSE)</f>
        <v>Electronics</v>
      </c>
      <c r="M1758" t="str">
        <f>VLOOKUP(E1754, Sales_Reps!$A$2:$E$31, 3, FALSE)</f>
        <v>South</v>
      </c>
      <c r="N1758">
        <f>VLOOKUP(D1758, Products!$A$2:$F$61, 4, FALSE)</f>
        <v>1149</v>
      </c>
    </row>
    <row r="1759" spans="1:14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 t="str">
        <f>VLOOKUP(D1759, Products!$A$2:$F$61, 3, FALSE)</f>
        <v>Sports</v>
      </c>
      <c r="M1759" t="str">
        <f>VLOOKUP(E1755, Sales_Reps!$A$2:$E$31, 3, FALSE)</f>
        <v>South</v>
      </c>
      <c r="N1759">
        <f>VLOOKUP(D1759, Products!$A$2:$F$61, 4, FALSE)</f>
        <v>1860</v>
      </c>
    </row>
    <row r="1760" spans="1:14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 t="str">
        <f>VLOOKUP(D1760, Products!$A$2:$F$61, 3, FALSE)</f>
        <v>Beauty</v>
      </c>
      <c r="M1760" t="str">
        <f>VLOOKUP(E1756, Sales_Reps!$A$2:$E$31, 3, FALSE)</f>
        <v>East</v>
      </c>
      <c r="N1760">
        <f>VLOOKUP(D1760, Products!$A$2:$F$61, 4, FALSE)</f>
        <v>1728</v>
      </c>
    </row>
    <row r="1761" spans="1:14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 t="str">
        <f>VLOOKUP(D1761, Products!$A$2:$F$61, 3, FALSE)</f>
        <v>Apparel</v>
      </c>
      <c r="M1761" t="str">
        <f>VLOOKUP(E1757, Sales_Reps!$A$2:$E$31, 3, FALSE)</f>
        <v>West</v>
      </c>
      <c r="N1761">
        <f>VLOOKUP(D1761, Products!$A$2:$F$61, 4, FALSE)</f>
        <v>1886</v>
      </c>
    </row>
    <row r="1762" spans="1:14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 t="str">
        <f>VLOOKUP(D1762, Products!$A$2:$F$61, 3, FALSE)</f>
        <v>Sports</v>
      </c>
      <c r="M1762" t="str">
        <f>VLOOKUP(E1758, Sales_Reps!$A$2:$E$31, 3, FALSE)</f>
        <v>East</v>
      </c>
      <c r="N1762">
        <f>VLOOKUP(D1762, Products!$A$2:$F$61, 4, FALSE)</f>
        <v>2028</v>
      </c>
    </row>
    <row r="1763" spans="1:14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 t="str">
        <f>VLOOKUP(D1763, Products!$A$2:$F$61, 3, FALSE)</f>
        <v>Electronics</v>
      </c>
      <c r="M1763" t="str">
        <f>VLOOKUP(E1759, Sales_Reps!$A$2:$E$31, 3, FALSE)</f>
        <v>West</v>
      </c>
      <c r="N1763">
        <f>VLOOKUP(D1763, Products!$A$2:$F$61, 4, FALSE)</f>
        <v>128</v>
      </c>
    </row>
    <row r="1764" spans="1:14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 t="str">
        <f>VLOOKUP(D1764, Products!$A$2:$F$61, 3, FALSE)</f>
        <v>Sports</v>
      </c>
      <c r="M1764" t="str">
        <f>VLOOKUP(E1760, Sales_Reps!$A$2:$E$31, 3, FALSE)</f>
        <v>South</v>
      </c>
      <c r="N1764">
        <f>VLOOKUP(D1764, Products!$A$2:$F$61, 4, FALSE)</f>
        <v>147</v>
      </c>
    </row>
    <row r="1765" spans="1:14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 t="str">
        <f>VLOOKUP(D1765, Products!$A$2:$F$61, 3, FALSE)</f>
        <v>Sports</v>
      </c>
      <c r="M1765" t="str">
        <f>VLOOKUP(E1761, Sales_Reps!$A$2:$E$31, 3, FALSE)</f>
        <v>West</v>
      </c>
      <c r="N1765">
        <f>VLOOKUP(D1765, Products!$A$2:$F$61, 4, FALSE)</f>
        <v>516</v>
      </c>
    </row>
    <row r="1766" spans="1:14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 t="str">
        <f>VLOOKUP(D1766, Products!$A$2:$F$61, 3, FALSE)</f>
        <v>Sports</v>
      </c>
      <c r="M1766" t="str">
        <f>VLOOKUP(E1762, Sales_Reps!$A$2:$E$31, 3, FALSE)</f>
        <v>North</v>
      </c>
      <c r="N1766">
        <f>VLOOKUP(D1766, Products!$A$2:$F$61, 4, FALSE)</f>
        <v>2467</v>
      </c>
    </row>
    <row r="1767" spans="1:14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 t="str">
        <f>VLOOKUP(D1767, Products!$A$2:$F$61, 3, FALSE)</f>
        <v>Electronics</v>
      </c>
      <c r="M1767" t="str">
        <f>VLOOKUP(E1763, Sales_Reps!$A$2:$E$31, 3, FALSE)</f>
        <v>South</v>
      </c>
      <c r="N1767">
        <f>VLOOKUP(D1767, Products!$A$2:$F$61, 4, FALSE)</f>
        <v>128</v>
      </c>
    </row>
    <row r="1768" spans="1:14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 t="str">
        <f>VLOOKUP(D1768, Products!$A$2:$F$61, 3, FALSE)</f>
        <v>Home</v>
      </c>
      <c r="M1768" t="str">
        <f>VLOOKUP(E1764, Sales_Reps!$A$2:$E$31, 3, FALSE)</f>
        <v>East</v>
      </c>
      <c r="N1768">
        <f>VLOOKUP(D1768, Products!$A$2:$F$61, 4, FALSE)</f>
        <v>2135</v>
      </c>
    </row>
    <row r="1769" spans="1:14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 t="str">
        <f>VLOOKUP(D1769, Products!$A$2:$F$61, 3, FALSE)</f>
        <v>Sports</v>
      </c>
      <c r="M1769" t="str">
        <f>VLOOKUP(E1765, Sales_Reps!$A$2:$E$31, 3, FALSE)</f>
        <v>East</v>
      </c>
      <c r="N1769">
        <f>VLOOKUP(D1769, Products!$A$2:$F$61, 4, FALSE)</f>
        <v>974</v>
      </c>
    </row>
    <row r="1770" spans="1:14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 t="str">
        <f>VLOOKUP(D1770, Products!$A$2:$F$61, 3, FALSE)</f>
        <v>Grocery</v>
      </c>
      <c r="M1770" t="str">
        <f>VLOOKUP(E1766, Sales_Reps!$A$2:$E$31, 3, FALSE)</f>
        <v>North</v>
      </c>
      <c r="N1770">
        <f>VLOOKUP(D1770, Products!$A$2:$F$61, 4, FALSE)</f>
        <v>1435</v>
      </c>
    </row>
    <row r="1771" spans="1:14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 t="str">
        <f>VLOOKUP(D1771, Products!$A$2:$F$61, 3, FALSE)</f>
        <v>Sports</v>
      </c>
      <c r="M1771" t="str">
        <f>VLOOKUP(E1767, Sales_Reps!$A$2:$E$31, 3, FALSE)</f>
        <v>North</v>
      </c>
      <c r="N1771">
        <f>VLOOKUP(D1771, Products!$A$2:$F$61, 4, FALSE)</f>
        <v>302</v>
      </c>
    </row>
    <row r="1772" spans="1:14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 t="str">
        <f>VLOOKUP(D1772, Products!$A$2:$F$61, 3, FALSE)</f>
        <v>Sports</v>
      </c>
      <c r="M1772" t="str">
        <f>VLOOKUP(E1768, Sales_Reps!$A$2:$E$31, 3, FALSE)</f>
        <v>East</v>
      </c>
      <c r="N1772">
        <f>VLOOKUP(D1772, Products!$A$2:$F$61, 4, FALSE)</f>
        <v>302</v>
      </c>
    </row>
    <row r="1773" spans="1:14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 t="str">
        <f>VLOOKUP(D1773, Products!$A$2:$F$61, 3, FALSE)</f>
        <v>Home</v>
      </c>
      <c r="M1773" t="str">
        <f>VLOOKUP(E1769, Sales_Reps!$A$2:$E$31, 3, FALSE)</f>
        <v>East</v>
      </c>
      <c r="N1773">
        <f>VLOOKUP(D1773, Products!$A$2:$F$61, 4, FALSE)</f>
        <v>288</v>
      </c>
    </row>
    <row r="1774" spans="1:14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 t="str">
        <f>VLOOKUP(D1774, Products!$A$2:$F$61, 3, FALSE)</f>
        <v>Grocery</v>
      </c>
      <c r="M1774" t="str">
        <f>VLOOKUP(E1770, Sales_Reps!$A$2:$E$31, 3, FALSE)</f>
        <v>North</v>
      </c>
      <c r="N1774">
        <f>VLOOKUP(D1774, Products!$A$2:$F$61, 4, FALSE)</f>
        <v>1010</v>
      </c>
    </row>
    <row r="1775" spans="1:14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 t="str">
        <f>VLOOKUP(D1775, Products!$A$2:$F$61, 3, FALSE)</f>
        <v>Sports</v>
      </c>
      <c r="M1775" t="str">
        <f>VLOOKUP(E1771, Sales_Reps!$A$2:$E$31, 3, FALSE)</f>
        <v>South</v>
      </c>
      <c r="N1775">
        <f>VLOOKUP(D1775, Products!$A$2:$F$61, 4, FALSE)</f>
        <v>2827</v>
      </c>
    </row>
    <row r="1776" spans="1:14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 t="str">
        <f>VLOOKUP(D1776, Products!$A$2:$F$61, 3, FALSE)</f>
        <v>Home</v>
      </c>
      <c r="M1776" t="str">
        <f>VLOOKUP(E1772, Sales_Reps!$A$2:$E$31, 3, FALSE)</f>
        <v>West</v>
      </c>
      <c r="N1776">
        <f>VLOOKUP(D1776, Products!$A$2:$F$61, 4, FALSE)</f>
        <v>1143</v>
      </c>
    </row>
    <row r="1777" spans="1:14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 t="str">
        <f>VLOOKUP(D1777, Products!$A$2:$F$61, 3, FALSE)</f>
        <v>Sports</v>
      </c>
      <c r="M1777" t="str">
        <f>VLOOKUP(E1773, Sales_Reps!$A$2:$E$31, 3, FALSE)</f>
        <v>West</v>
      </c>
      <c r="N1777">
        <f>VLOOKUP(D1777, Products!$A$2:$F$61, 4, FALSE)</f>
        <v>516</v>
      </c>
    </row>
    <row r="1778" spans="1:14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 t="str">
        <f>VLOOKUP(D1778, Products!$A$2:$F$61, 3, FALSE)</f>
        <v>Apparel</v>
      </c>
      <c r="M1778" t="str">
        <f>VLOOKUP(E1774, Sales_Reps!$A$2:$E$31, 3, FALSE)</f>
        <v>North</v>
      </c>
      <c r="N1778">
        <f>VLOOKUP(D1778, Products!$A$2:$F$61, 4, FALSE)</f>
        <v>1075</v>
      </c>
    </row>
    <row r="1779" spans="1:14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 t="str">
        <f>VLOOKUP(D1779, Products!$A$2:$F$61, 3, FALSE)</f>
        <v>Home</v>
      </c>
      <c r="M1779" t="str">
        <f>VLOOKUP(E1775, Sales_Reps!$A$2:$E$31, 3, FALSE)</f>
        <v>North</v>
      </c>
      <c r="N1779">
        <f>VLOOKUP(D1779, Products!$A$2:$F$61, 4, FALSE)</f>
        <v>288</v>
      </c>
    </row>
    <row r="1780" spans="1:14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 t="str">
        <f>VLOOKUP(D1780, Products!$A$2:$F$61, 3, FALSE)</f>
        <v>Apparel</v>
      </c>
      <c r="M1780" t="str">
        <f>VLOOKUP(E1776, Sales_Reps!$A$2:$E$31, 3, FALSE)</f>
        <v>East</v>
      </c>
      <c r="N1780">
        <f>VLOOKUP(D1780, Products!$A$2:$F$61, 4, FALSE)</f>
        <v>1173</v>
      </c>
    </row>
    <row r="1781" spans="1:14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 t="str">
        <f>VLOOKUP(D1781, Products!$A$2:$F$61, 3, FALSE)</f>
        <v>Electronics</v>
      </c>
      <c r="M1781" t="str">
        <f>VLOOKUP(E1777, Sales_Reps!$A$2:$E$31, 3, FALSE)</f>
        <v>East</v>
      </c>
      <c r="N1781">
        <f>VLOOKUP(D1781, Products!$A$2:$F$61, 4, FALSE)</f>
        <v>1149</v>
      </c>
    </row>
    <row r="1782" spans="1:14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 t="str">
        <f>VLOOKUP(D1782, Products!$A$2:$F$61, 3, FALSE)</f>
        <v>Home</v>
      </c>
      <c r="M1782" t="str">
        <f>VLOOKUP(E1778, Sales_Reps!$A$2:$E$31, 3, FALSE)</f>
        <v>North</v>
      </c>
      <c r="N1782">
        <f>VLOOKUP(D1782, Products!$A$2:$F$61, 4, FALSE)</f>
        <v>464</v>
      </c>
    </row>
    <row r="1783" spans="1:14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 t="str">
        <f>VLOOKUP(D1783, Products!$A$2:$F$61, 3, FALSE)</f>
        <v>Beauty</v>
      </c>
      <c r="M1783" t="str">
        <f>VLOOKUP(E1779, Sales_Reps!$A$2:$E$31, 3, FALSE)</f>
        <v>North</v>
      </c>
      <c r="N1783">
        <f>VLOOKUP(D1783, Products!$A$2:$F$61, 4, FALSE)</f>
        <v>1728</v>
      </c>
    </row>
    <row r="1784" spans="1:14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 t="str">
        <f>VLOOKUP(D1784, Products!$A$2:$F$61, 3, FALSE)</f>
        <v>Beauty</v>
      </c>
      <c r="M1784" t="str">
        <f>VLOOKUP(E1780, Sales_Reps!$A$2:$E$31, 3, FALSE)</f>
        <v>East</v>
      </c>
      <c r="N1784">
        <f>VLOOKUP(D1784, Products!$A$2:$F$61, 4, FALSE)</f>
        <v>2617</v>
      </c>
    </row>
    <row r="1785" spans="1:14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 t="str">
        <f>VLOOKUP(D1785, Products!$A$2:$F$61, 3, FALSE)</f>
        <v>Beauty</v>
      </c>
      <c r="M1785" t="str">
        <f>VLOOKUP(E1781, Sales_Reps!$A$2:$E$31, 3, FALSE)</f>
        <v>East</v>
      </c>
      <c r="N1785">
        <f>VLOOKUP(D1785, Products!$A$2:$F$61, 4, FALSE)</f>
        <v>675</v>
      </c>
    </row>
    <row r="1786" spans="1:14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 t="str">
        <f>VLOOKUP(D1786, Products!$A$2:$F$61, 3, FALSE)</f>
        <v>Grocery</v>
      </c>
      <c r="M1786" t="str">
        <f>VLOOKUP(E1782, Sales_Reps!$A$2:$E$31, 3, FALSE)</f>
        <v>East</v>
      </c>
      <c r="N1786">
        <f>VLOOKUP(D1786, Products!$A$2:$F$61, 4, FALSE)</f>
        <v>2214</v>
      </c>
    </row>
    <row r="1787" spans="1:14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 t="str">
        <f>VLOOKUP(D1787, Products!$A$2:$F$61, 3, FALSE)</f>
        <v>Beauty</v>
      </c>
      <c r="M1787" t="str">
        <f>VLOOKUP(E1783, Sales_Reps!$A$2:$E$31, 3, FALSE)</f>
        <v>North</v>
      </c>
      <c r="N1787">
        <f>VLOOKUP(D1787, Products!$A$2:$F$61, 4, FALSE)</f>
        <v>2420</v>
      </c>
    </row>
    <row r="1788" spans="1:14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 t="str">
        <f>VLOOKUP(D1788, Products!$A$2:$F$61, 3, FALSE)</f>
        <v>Home</v>
      </c>
      <c r="M1788" t="str">
        <f>VLOOKUP(E1784, Sales_Reps!$A$2:$E$31, 3, FALSE)</f>
        <v>South</v>
      </c>
      <c r="N1788">
        <f>VLOOKUP(D1788, Products!$A$2:$F$61, 4, FALSE)</f>
        <v>1850</v>
      </c>
    </row>
    <row r="1789" spans="1:14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 t="str">
        <f>VLOOKUP(D1789, Products!$A$2:$F$61, 3, FALSE)</f>
        <v>Sports</v>
      </c>
      <c r="M1789" t="str">
        <f>VLOOKUP(E1785, Sales_Reps!$A$2:$E$31, 3, FALSE)</f>
        <v>North</v>
      </c>
      <c r="N1789">
        <f>VLOOKUP(D1789, Products!$A$2:$F$61, 4, FALSE)</f>
        <v>705</v>
      </c>
    </row>
    <row r="1790" spans="1:14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 t="str">
        <f>VLOOKUP(D1790, Products!$A$2:$F$61, 3, FALSE)</f>
        <v>Home</v>
      </c>
      <c r="M1790" t="str">
        <f>VLOOKUP(E1786, Sales_Reps!$A$2:$E$31, 3, FALSE)</f>
        <v>North</v>
      </c>
      <c r="N1790">
        <f>VLOOKUP(D1790, Products!$A$2:$F$61, 4, FALSE)</f>
        <v>288</v>
      </c>
    </row>
    <row r="1791" spans="1:14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 t="str">
        <f>VLOOKUP(D1791, Products!$A$2:$F$61, 3, FALSE)</f>
        <v>Grocery</v>
      </c>
      <c r="M1791" t="str">
        <f>VLOOKUP(E1787, Sales_Reps!$A$2:$E$31, 3, FALSE)</f>
        <v>East</v>
      </c>
      <c r="N1791">
        <f>VLOOKUP(D1791, Products!$A$2:$F$61, 4, FALSE)</f>
        <v>1203</v>
      </c>
    </row>
    <row r="1792" spans="1:14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 t="str">
        <f>VLOOKUP(D1792, Products!$A$2:$F$61, 3, FALSE)</f>
        <v>Home</v>
      </c>
      <c r="M1792" t="str">
        <f>VLOOKUP(E1788, Sales_Reps!$A$2:$E$31, 3, FALSE)</f>
        <v>East</v>
      </c>
      <c r="N1792">
        <f>VLOOKUP(D1792, Products!$A$2:$F$61, 4, FALSE)</f>
        <v>1556</v>
      </c>
    </row>
    <row r="1793" spans="1:14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 t="str">
        <f>VLOOKUP(D1793, Products!$A$2:$F$61, 3, FALSE)</f>
        <v>Apparel</v>
      </c>
      <c r="M1793" t="str">
        <f>VLOOKUP(E1789, Sales_Reps!$A$2:$E$31, 3, FALSE)</f>
        <v>South</v>
      </c>
      <c r="N1793">
        <f>VLOOKUP(D1793, Products!$A$2:$F$61, 4, FALSE)</f>
        <v>396</v>
      </c>
    </row>
    <row r="1794" spans="1:14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 t="str">
        <f>VLOOKUP(D1794, Products!$A$2:$F$61, 3, FALSE)</f>
        <v>Electronics</v>
      </c>
      <c r="M1794" t="str">
        <f>VLOOKUP(E1790, Sales_Reps!$A$2:$E$31, 3, FALSE)</f>
        <v>East</v>
      </c>
      <c r="N1794">
        <f>VLOOKUP(D1794, Products!$A$2:$F$61, 4, FALSE)</f>
        <v>1259</v>
      </c>
    </row>
    <row r="1795" spans="1:14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 t="str">
        <f>VLOOKUP(D1795, Products!$A$2:$F$61, 3, FALSE)</f>
        <v>Apparel</v>
      </c>
      <c r="M1795" t="str">
        <f>VLOOKUP(E1791, Sales_Reps!$A$2:$E$31, 3, FALSE)</f>
        <v>North</v>
      </c>
      <c r="N1795">
        <f>VLOOKUP(D1795, Products!$A$2:$F$61, 4, FALSE)</f>
        <v>2509</v>
      </c>
    </row>
    <row r="1796" spans="1:14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 t="str">
        <f>VLOOKUP(D1796, Products!$A$2:$F$61, 3, FALSE)</f>
        <v>Apparel</v>
      </c>
      <c r="M1796" t="str">
        <f>VLOOKUP(E1792, Sales_Reps!$A$2:$E$31, 3, FALSE)</f>
        <v>South</v>
      </c>
      <c r="N1796">
        <f>VLOOKUP(D1796, Products!$A$2:$F$61, 4, FALSE)</f>
        <v>2611</v>
      </c>
    </row>
    <row r="1797" spans="1:14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 t="str">
        <f>VLOOKUP(D1797, Products!$A$2:$F$61, 3, FALSE)</f>
        <v>Electronics</v>
      </c>
      <c r="M1797" t="str">
        <f>VLOOKUP(E1793, Sales_Reps!$A$2:$E$31, 3, FALSE)</f>
        <v>East</v>
      </c>
      <c r="N1797">
        <f>VLOOKUP(D1797, Products!$A$2:$F$61, 4, FALSE)</f>
        <v>517</v>
      </c>
    </row>
    <row r="1798" spans="1:14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 t="str">
        <f>VLOOKUP(D1798, Products!$A$2:$F$61, 3, FALSE)</f>
        <v>Apparel</v>
      </c>
      <c r="M1798" t="str">
        <f>VLOOKUP(E1794, Sales_Reps!$A$2:$E$31, 3, FALSE)</f>
        <v>North</v>
      </c>
      <c r="N1798">
        <f>VLOOKUP(D1798, Products!$A$2:$F$61, 4, FALSE)</f>
        <v>1173</v>
      </c>
    </row>
    <row r="1799" spans="1:14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 t="str">
        <f>VLOOKUP(D1799, Products!$A$2:$F$61, 3, FALSE)</f>
        <v>Beauty</v>
      </c>
      <c r="M1799" t="str">
        <f>VLOOKUP(E1795, Sales_Reps!$A$2:$E$31, 3, FALSE)</f>
        <v>North</v>
      </c>
      <c r="N1799">
        <f>VLOOKUP(D1799, Products!$A$2:$F$61, 4, FALSE)</f>
        <v>1222</v>
      </c>
    </row>
    <row r="1800" spans="1:14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 t="str">
        <f>VLOOKUP(D1800, Products!$A$2:$F$61, 3, FALSE)</f>
        <v>Beauty</v>
      </c>
      <c r="M1800" t="str">
        <f>VLOOKUP(E1796, Sales_Reps!$A$2:$E$31, 3, FALSE)</f>
        <v>East</v>
      </c>
      <c r="N1800">
        <f>VLOOKUP(D1800, Products!$A$2:$F$61, 4, FALSE)</f>
        <v>1626</v>
      </c>
    </row>
    <row r="1801" spans="1:14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 t="str">
        <f>VLOOKUP(D1801, Products!$A$2:$F$61, 3, FALSE)</f>
        <v>Apparel</v>
      </c>
      <c r="M1801" t="str">
        <f>VLOOKUP(E1797, Sales_Reps!$A$2:$E$31, 3, FALSE)</f>
        <v>North</v>
      </c>
      <c r="N1801">
        <f>VLOOKUP(D1801, Products!$A$2:$F$61, 4, FALSE)</f>
        <v>1748</v>
      </c>
    </row>
    <row r="1802" spans="1:14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 t="str">
        <f>VLOOKUP(D1802, Products!$A$2:$F$61, 3, FALSE)</f>
        <v>Electronics</v>
      </c>
      <c r="M1802" t="str">
        <f>VLOOKUP(E1798, Sales_Reps!$A$2:$E$31, 3, FALSE)</f>
        <v>North</v>
      </c>
      <c r="N1802">
        <f>VLOOKUP(D1802, Products!$A$2:$F$61, 4, FALSE)</f>
        <v>517</v>
      </c>
    </row>
    <row r="1803" spans="1:14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 t="str">
        <f>VLOOKUP(D1803, Products!$A$2:$F$61, 3, FALSE)</f>
        <v>Grocery</v>
      </c>
      <c r="M1803" t="str">
        <f>VLOOKUP(E1799, Sales_Reps!$A$2:$E$31, 3, FALSE)</f>
        <v>West</v>
      </c>
      <c r="N1803">
        <f>VLOOKUP(D1803, Products!$A$2:$F$61, 4, FALSE)</f>
        <v>2436</v>
      </c>
    </row>
    <row r="1804" spans="1:14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 t="str">
        <f>VLOOKUP(D1804, Products!$A$2:$F$61, 3, FALSE)</f>
        <v>Electronics</v>
      </c>
      <c r="M1804" t="str">
        <f>VLOOKUP(E1800, Sales_Reps!$A$2:$E$31, 3, FALSE)</f>
        <v>North</v>
      </c>
      <c r="N1804">
        <f>VLOOKUP(D1804, Products!$A$2:$F$61, 4, FALSE)</f>
        <v>1259</v>
      </c>
    </row>
    <row r="1805" spans="1:14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 t="str">
        <f>VLOOKUP(D1805, Products!$A$2:$F$61, 3, FALSE)</f>
        <v>Home</v>
      </c>
      <c r="M1805" t="str">
        <f>VLOOKUP(E1801, Sales_Reps!$A$2:$E$31, 3, FALSE)</f>
        <v>South</v>
      </c>
      <c r="N1805">
        <f>VLOOKUP(D1805, Products!$A$2:$F$61, 4, FALSE)</f>
        <v>464</v>
      </c>
    </row>
    <row r="1806" spans="1:14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 t="str">
        <f>VLOOKUP(D1806, Products!$A$2:$F$61, 3, FALSE)</f>
        <v>Home</v>
      </c>
      <c r="M1806" t="str">
        <f>VLOOKUP(E1802, Sales_Reps!$A$2:$E$31, 3, FALSE)</f>
        <v>East</v>
      </c>
      <c r="N1806">
        <f>VLOOKUP(D1806, Products!$A$2:$F$61, 4, FALSE)</f>
        <v>329</v>
      </c>
    </row>
    <row r="1807" spans="1:14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 t="str">
        <f>VLOOKUP(D1807, Products!$A$2:$F$61, 3, FALSE)</f>
        <v>Home</v>
      </c>
      <c r="M1807" t="str">
        <f>VLOOKUP(E1803, Sales_Reps!$A$2:$E$31, 3, FALSE)</f>
        <v>North</v>
      </c>
      <c r="N1807">
        <f>VLOOKUP(D1807, Products!$A$2:$F$61, 4, FALSE)</f>
        <v>464</v>
      </c>
    </row>
    <row r="1808" spans="1:14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 t="str">
        <f>VLOOKUP(D1808, Products!$A$2:$F$61, 3, FALSE)</f>
        <v>Grocery</v>
      </c>
      <c r="M1808" t="str">
        <f>VLOOKUP(E1804, Sales_Reps!$A$2:$E$31, 3, FALSE)</f>
        <v>North</v>
      </c>
      <c r="N1808">
        <f>VLOOKUP(D1808, Products!$A$2:$F$61, 4, FALSE)</f>
        <v>1010</v>
      </c>
    </row>
    <row r="1809" spans="1:14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 t="str">
        <f>VLOOKUP(D1809, Products!$A$2:$F$61, 3, FALSE)</f>
        <v>Electronics</v>
      </c>
      <c r="M1809" t="str">
        <f>VLOOKUP(E1805, Sales_Reps!$A$2:$E$31, 3, FALSE)</f>
        <v>North</v>
      </c>
      <c r="N1809">
        <f>VLOOKUP(D1809, Products!$A$2:$F$61, 4, FALSE)</f>
        <v>2865</v>
      </c>
    </row>
    <row r="1810" spans="1:14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 t="str">
        <f>VLOOKUP(D1810, Products!$A$2:$F$61, 3, FALSE)</f>
        <v>Home</v>
      </c>
      <c r="M1810" t="str">
        <f>VLOOKUP(E1806, Sales_Reps!$A$2:$E$31, 3, FALSE)</f>
        <v>South</v>
      </c>
      <c r="N1810">
        <f>VLOOKUP(D1810, Products!$A$2:$F$61, 4, FALSE)</f>
        <v>1850</v>
      </c>
    </row>
    <row r="1811" spans="1:14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 t="str">
        <f>VLOOKUP(D1811, Products!$A$2:$F$61, 3, FALSE)</f>
        <v>Beauty</v>
      </c>
      <c r="M1811" t="str">
        <f>VLOOKUP(E1807, Sales_Reps!$A$2:$E$31, 3, FALSE)</f>
        <v>South</v>
      </c>
      <c r="N1811">
        <f>VLOOKUP(D1811, Products!$A$2:$F$61, 4, FALSE)</f>
        <v>675</v>
      </c>
    </row>
    <row r="1812" spans="1:14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 t="str">
        <f>VLOOKUP(D1812, Products!$A$2:$F$61, 3, FALSE)</f>
        <v>Beauty</v>
      </c>
      <c r="M1812" t="str">
        <f>VLOOKUP(E1808, Sales_Reps!$A$2:$E$31, 3, FALSE)</f>
        <v>South</v>
      </c>
      <c r="N1812">
        <f>VLOOKUP(D1812, Products!$A$2:$F$61, 4, FALSE)</f>
        <v>1626</v>
      </c>
    </row>
    <row r="1813" spans="1:14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 t="str">
        <f>VLOOKUP(D1813, Products!$A$2:$F$61, 3, FALSE)</f>
        <v>Apparel</v>
      </c>
      <c r="M1813" t="str">
        <f>VLOOKUP(E1809, Sales_Reps!$A$2:$E$31, 3, FALSE)</f>
        <v>West</v>
      </c>
      <c r="N1813">
        <f>VLOOKUP(D1813, Products!$A$2:$F$61, 4, FALSE)</f>
        <v>1173</v>
      </c>
    </row>
    <row r="1814" spans="1:14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 t="str">
        <f>VLOOKUP(D1814, Products!$A$2:$F$61, 3, FALSE)</f>
        <v>Electronics</v>
      </c>
      <c r="M1814" t="str">
        <f>VLOOKUP(E1810, Sales_Reps!$A$2:$E$31, 3, FALSE)</f>
        <v>East</v>
      </c>
      <c r="N1814">
        <f>VLOOKUP(D1814, Products!$A$2:$F$61, 4, FALSE)</f>
        <v>1559</v>
      </c>
    </row>
    <row r="1815" spans="1:14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 t="str">
        <f>VLOOKUP(D1815, Products!$A$2:$F$61, 3, FALSE)</f>
        <v>Home</v>
      </c>
      <c r="M1815" t="str">
        <f>VLOOKUP(E1811, Sales_Reps!$A$2:$E$31, 3, FALSE)</f>
        <v>West</v>
      </c>
      <c r="N1815">
        <f>VLOOKUP(D1815, Products!$A$2:$F$61, 4, FALSE)</f>
        <v>329</v>
      </c>
    </row>
    <row r="1816" spans="1:14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 t="str">
        <f>VLOOKUP(D1816, Products!$A$2:$F$61, 3, FALSE)</f>
        <v>Electronics</v>
      </c>
      <c r="M1816" t="str">
        <f>VLOOKUP(E1812, Sales_Reps!$A$2:$E$31, 3, FALSE)</f>
        <v>South</v>
      </c>
      <c r="N1816">
        <f>VLOOKUP(D1816, Products!$A$2:$F$61, 4, FALSE)</f>
        <v>1559</v>
      </c>
    </row>
    <row r="1817" spans="1:14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 t="str">
        <f>VLOOKUP(D1817, Products!$A$2:$F$61, 3, FALSE)</f>
        <v>Apparel</v>
      </c>
      <c r="M1817" t="str">
        <f>VLOOKUP(E1813, Sales_Reps!$A$2:$E$31, 3, FALSE)</f>
        <v>West</v>
      </c>
      <c r="N1817">
        <f>VLOOKUP(D1817, Products!$A$2:$F$61, 4, FALSE)</f>
        <v>1173</v>
      </c>
    </row>
    <row r="1818" spans="1:14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 t="str">
        <f>VLOOKUP(D1818, Products!$A$2:$F$61, 3, FALSE)</f>
        <v>Electronics</v>
      </c>
      <c r="M1818" t="str">
        <f>VLOOKUP(E1814, Sales_Reps!$A$2:$E$31, 3, FALSE)</f>
        <v>South</v>
      </c>
      <c r="N1818">
        <f>VLOOKUP(D1818, Products!$A$2:$F$61, 4, FALSE)</f>
        <v>1149</v>
      </c>
    </row>
    <row r="1819" spans="1:14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 t="str">
        <f>VLOOKUP(D1819, Products!$A$2:$F$61, 3, FALSE)</f>
        <v>Grocery</v>
      </c>
      <c r="M1819" t="str">
        <f>VLOOKUP(E1815, Sales_Reps!$A$2:$E$31, 3, FALSE)</f>
        <v>East</v>
      </c>
      <c r="N1819">
        <f>VLOOKUP(D1819, Products!$A$2:$F$61, 4, FALSE)</f>
        <v>434</v>
      </c>
    </row>
    <row r="1820" spans="1:14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 t="str">
        <f>VLOOKUP(D1820, Products!$A$2:$F$61, 3, FALSE)</f>
        <v>Sports</v>
      </c>
      <c r="M1820" t="str">
        <f>VLOOKUP(E1816, Sales_Reps!$A$2:$E$31, 3, FALSE)</f>
        <v>West</v>
      </c>
      <c r="N1820">
        <f>VLOOKUP(D1820, Products!$A$2:$F$61, 4, FALSE)</f>
        <v>705</v>
      </c>
    </row>
    <row r="1821" spans="1:14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 t="str">
        <f>VLOOKUP(D1821, Products!$A$2:$F$61, 3, FALSE)</f>
        <v>Home</v>
      </c>
      <c r="M1821" t="str">
        <f>VLOOKUP(E1817, Sales_Reps!$A$2:$E$31, 3, FALSE)</f>
        <v>North</v>
      </c>
      <c r="N1821">
        <f>VLOOKUP(D1821, Products!$A$2:$F$61, 4, FALSE)</f>
        <v>1143</v>
      </c>
    </row>
    <row r="1822" spans="1:14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 t="str">
        <f>VLOOKUP(D1822, Products!$A$2:$F$61, 3, FALSE)</f>
        <v>Beauty</v>
      </c>
      <c r="M1822" t="str">
        <f>VLOOKUP(E1818, Sales_Reps!$A$2:$E$31, 3, FALSE)</f>
        <v>North</v>
      </c>
      <c r="N1822">
        <f>VLOOKUP(D1822, Products!$A$2:$F$61, 4, FALSE)</f>
        <v>1219</v>
      </c>
    </row>
    <row r="1823" spans="1:14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 t="str">
        <f>VLOOKUP(D1823, Products!$A$2:$F$61, 3, FALSE)</f>
        <v>Apparel</v>
      </c>
      <c r="M1823" t="str">
        <f>VLOOKUP(E1819, Sales_Reps!$A$2:$E$31, 3, FALSE)</f>
        <v>North</v>
      </c>
      <c r="N1823">
        <f>VLOOKUP(D1823, Products!$A$2:$F$61, 4, FALSE)</f>
        <v>391</v>
      </c>
    </row>
    <row r="1824" spans="1:14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 t="str">
        <f>VLOOKUP(D1824, Products!$A$2:$F$61, 3, FALSE)</f>
        <v>Home</v>
      </c>
      <c r="M1824" t="str">
        <f>VLOOKUP(E1820, Sales_Reps!$A$2:$E$31, 3, FALSE)</f>
        <v>North</v>
      </c>
      <c r="N1824">
        <f>VLOOKUP(D1824, Products!$A$2:$F$61, 4, FALSE)</f>
        <v>519</v>
      </c>
    </row>
    <row r="1825" spans="1:14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 t="str">
        <f>VLOOKUP(D1825, Products!$A$2:$F$61, 3, FALSE)</f>
        <v>Sports</v>
      </c>
      <c r="M1825" t="str">
        <f>VLOOKUP(E1821, Sales_Reps!$A$2:$E$31, 3, FALSE)</f>
        <v>North</v>
      </c>
      <c r="N1825">
        <f>VLOOKUP(D1825, Products!$A$2:$F$61, 4, FALSE)</f>
        <v>147</v>
      </c>
    </row>
    <row r="1826" spans="1:14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 t="str">
        <f>VLOOKUP(D1826, Products!$A$2:$F$61, 3, FALSE)</f>
        <v>Apparel</v>
      </c>
      <c r="M1826" t="str">
        <f>VLOOKUP(E1822, Sales_Reps!$A$2:$E$31, 3, FALSE)</f>
        <v>West</v>
      </c>
      <c r="N1826">
        <f>VLOOKUP(D1826, Products!$A$2:$F$61, 4, FALSE)</f>
        <v>1075</v>
      </c>
    </row>
    <row r="1827" spans="1:14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 t="str">
        <f>VLOOKUP(D1827, Products!$A$2:$F$61, 3, FALSE)</f>
        <v>Apparel</v>
      </c>
      <c r="M1827" t="str">
        <f>VLOOKUP(E1823, Sales_Reps!$A$2:$E$31, 3, FALSE)</f>
        <v>West</v>
      </c>
      <c r="N1827">
        <f>VLOOKUP(D1827, Products!$A$2:$F$61, 4, FALSE)</f>
        <v>2629</v>
      </c>
    </row>
    <row r="1828" spans="1:14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 t="str">
        <f>VLOOKUP(D1828, Products!$A$2:$F$61, 3, FALSE)</f>
        <v>Apparel</v>
      </c>
      <c r="M1828" t="str">
        <f>VLOOKUP(E1824, Sales_Reps!$A$2:$E$31, 3, FALSE)</f>
        <v>West</v>
      </c>
      <c r="N1828">
        <f>VLOOKUP(D1828, Products!$A$2:$F$61, 4, FALSE)</f>
        <v>391</v>
      </c>
    </row>
    <row r="1829" spans="1:14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 t="str">
        <f>VLOOKUP(D1829, Products!$A$2:$F$61, 3, FALSE)</f>
        <v>Apparel</v>
      </c>
      <c r="M1829" t="str">
        <f>VLOOKUP(E1825, Sales_Reps!$A$2:$E$31, 3, FALSE)</f>
        <v>West</v>
      </c>
      <c r="N1829">
        <f>VLOOKUP(D1829, Products!$A$2:$F$61, 4, FALSE)</f>
        <v>2611</v>
      </c>
    </row>
    <row r="1830" spans="1:14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 t="str">
        <f>VLOOKUP(D1830, Products!$A$2:$F$61, 3, FALSE)</f>
        <v>Grocery</v>
      </c>
      <c r="M1830" t="str">
        <f>VLOOKUP(E1826, Sales_Reps!$A$2:$E$31, 3, FALSE)</f>
        <v>West</v>
      </c>
      <c r="N1830">
        <f>VLOOKUP(D1830, Products!$A$2:$F$61, 4, FALSE)</f>
        <v>2214</v>
      </c>
    </row>
    <row r="1831" spans="1:14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 t="str">
        <f>VLOOKUP(D1831, Products!$A$2:$F$61, 3, FALSE)</f>
        <v>Sports</v>
      </c>
      <c r="M1831" t="str">
        <f>VLOOKUP(E1827, Sales_Reps!$A$2:$E$31, 3, FALSE)</f>
        <v>South</v>
      </c>
      <c r="N1831">
        <f>VLOOKUP(D1831, Products!$A$2:$F$61, 4, FALSE)</f>
        <v>2028</v>
      </c>
    </row>
    <row r="1832" spans="1:14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 t="str">
        <f>VLOOKUP(D1832, Products!$A$2:$F$61, 3, FALSE)</f>
        <v>Apparel</v>
      </c>
      <c r="M1832" t="str">
        <f>VLOOKUP(E1828, Sales_Reps!$A$2:$E$31, 3, FALSE)</f>
        <v>South</v>
      </c>
      <c r="N1832">
        <f>VLOOKUP(D1832, Products!$A$2:$F$61, 4, FALSE)</f>
        <v>1962</v>
      </c>
    </row>
    <row r="1833" spans="1:14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 t="str">
        <f>VLOOKUP(D1833, Products!$A$2:$F$61, 3, FALSE)</f>
        <v>Sports</v>
      </c>
      <c r="M1833" t="str">
        <f>VLOOKUP(E1829, Sales_Reps!$A$2:$E$31, 3, FALSE)</f>
        <v>North</v>
      </c>
      <c r="N1833">
        <f>VLOOKUP(D1833, Products!$A$2:$F$61, 4, FALSE)</f>
        <v>2028</v>
      </c>
    </row>
    <row r="1834" spans="1:14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 t="str">
        <f>VLOOKUP(D1834, Products!$A$2:$F$61, 3, FALSE)</f>
        <v>Apparel</v>
      </c>
      <c r="M1834" t="str">
        <f>VLOOKUP(E1830, Sales_Reps!$A$2:$E$31, 3, FALSE)</f>
        <v>East</v>
      </c>
      <c r="N1834">
        <f>VLOOKUP(D1834, Products!$A$2:$F$61, 4, FALSE)</f>
        <v>1075</v>
      </c>
    </row>
    <row r="1835" spans="1:14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 t="str">
        <f>VLOOKUP(D1835, Products!$A$2:$F$61, 3, FALSE)</f>
        <v>Apparel</v>
      </c>
      <c r="M1835" t="str">
        <f>VLOOKUP(E1831, Sales_Reps!$A$2:$E$31, 3, FALSE)</f>
        <v>West</v>
      </c>
      <c r="N1835">
        <f>VLOOKUP(D1835, Products!$A$2:$F$61, 4, FALSE)</f>
        <v>1075</v>
      </c>
    </row>
    <row r="1836" spans="1:14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 t="str">
        <f>VLOOKUP(D1836, Products!$A$2:$F$61, 3, FALSE)</f>
        <v>Beauty</v>
      </c>
      <c r="M1836" t="str">
        <f>VLOOKUP(E1832, Sales_Reps!$A$2:$E$31, 3, FALSE)</f>
        <v>East</v>
      </c>
      <c r="N1836">
        <f>VLOOKUP(D1836, Products!$A$2:$F$61, 4, FALSE)</f>
        <v>675</v>
      </c>
    </row>
    <row r="1837" spans="1:14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 t="str">
        <f>VLOOKUP(D1837, Products!$A$2:$F$61, 3, FALSE)</f>
        <v>Home</v>
      </c>
      <c r="M1837" t="str">
        <f>VLOOKUP(E1833, Sales_Reps!$A$2:$E$31, 3, FALSE)</f>
        <v>North</v>
      </c>
      <c r="N1837">
        <f>VLOOKUP(D1837, Products!$A$2:$F$61, 4, FALSE)</f>
        <v>2549</v>
      </c>
    </row>
    <row r="1838" spans="1:14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 t="str">
        <f>VLOOKUP(D1838, Products!$A$2:$F$61, 3, FALSE)</f>
        <v>Apparel</v>
      </c>
      <c r="M1838" t="str">
        <f>VLOOKUP(E1834, Sales_Reps!$A$2:$E$31, 3, FALSE)</f>
        <v>East</v>
      </c>
      <c r="N1838">
        <f>VLOOKUP(D1838, Products!$A$2:$F$61, 4, FALSE)</f>
        <v>1075</v>
      </c>
    </row>
    <row r="1839" spans="1:14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 t="str">
        <f>VLOOKUP(D1839, Products!$A$2:$F$61, 3, FALSE)</f>
        <v>Apparel</v>
      </c>
      <c r="M1839" t="str">
        <f>VLOOKUP(E1835, Sales_Reps!$A$2:$E$31, 3, FALSE)</f>
        <v>East</v>
      </c>
      <c r="N1839">
        <f>VLOOKUP(D1839, Products!$A$2:$F$61, 4, FALSE)</f>
        <v>391</v>
      </c>
    </row>
    <row r="1840" spans="1:14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 t="str">
        <f>VLOOKUP(D1840, Products!$A$2:$F$61, 3, FALSE)</f>
        <v>Electronics</v>
      </c>
      <c r="M1840" t="str">
        <f>VLOOKUP(E1836, Sales_Reps!$A$2:$E$31, 3, FALSE)</f>
        <v>North</v>
      </c>
      <c r="N1840">
        <f>VLOOKUP(D1840, Products!$A$2:$F$61, 4, FALSE)</f>
        <v>128</v>
      </c>
    </row>
    <row r="1841" spans="1:14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 t="str">
        <f>VLOOKUP(D1841, Products!$A$2:$F$61, 3, FALSE)</f>
        <v>Beauty</v>
      </c>
      <c r="M1841" t="str">
        <f>VLOOKUP(E1837, Sales_Reps!$A$2:$E$31, 3, FALSE)</f>
        <v>South</v>
      </c>
      <c r="N1841">
        <f>VLOOKUP(D1841, Products!$A$2:$F$61, 4, FALSE)</f>
        <v>1728</v>
      </c>
    </row>
    <row r="1842" spans="1:14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 t="str">
        <f>VLOOKUP(D1842, Products!$A$2:$F$61, 3, FALSE)</f>
        <v>Home</v>
      </c>
      <c r="M1842" t="str">
        <f>VLOOKUP(E1838, Sales_Reps!$A$2:$E$31, 3, FALSE)</f>
        <v>North</v>
      </c>
      <c r="N1842">
        <f>VLOOKUP(D1842, Products!$A$2:$F$61, 4, FALSE)</f>
        <v>1556</v>
      </c>
    </row>
    <row r="1843" spans="1:14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 t="str">
        <f>VLOOKUP(D1843, Products!$A$2:$F$61, 3, FALSE)</f>
        <v>Beauty</v>
      </c>
      <c r="M1843" t="str">
        <f>VLOOKUP(E1839, Sales_Reps!$A$2:$E$31, 3, FALSE)</f>
        <v>South</v>
      </c>
      <c r="N1843">
        <f>VLOOKUP(D1843, Products!$A$2:$F$61, 4, FALSE)</f>
        <v>1222</v>
      </c>
    </row>
    <row r="1844" spans="1:14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 t="str">
        <f>VLOOKUP(D1844, Products!$A$2:$F$61, 3, FALSE)</f>
        <v>Electronics</v>
      </c>
      <c r="M1844" t="str">
        <f>VLOOKUP(E1840, Sales_Reps!$A$2:$E$31, 3, FALSE)</f>
        <v>East</v>
      </c>
      <c r="N1844">
        <f>VLOOKUP(D1844, Products!$A$2:$F$61, 4, FALSE)</f>
        <v>517</v>
      </c>
    </row>
    <row r="1845" spans="1:14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 t="str">
        <f>VLOOKUP(D1845, Products!$A$2:$F$61, 3, FALSE)</f>
        <v>Beauty</v>
      </c>
      <c r="M1845" t="str">
        <f>VLOOKUP(E1841, Sales_Reps!$A$2:$E$31, 3, FALSE)</f>
        <v>South</v>
      </c>
      <c r="N1845">
        <f>VLOOKUP(D1845, Products!$A$2:$F$61, 4, FALSE)</f>
        <v>675</v>
      </c>
    </row>
    <row r="1846" spans="1:14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 t="str">
        <f>VLOOKUP(D1846, Products!$A$2:$F$61, 3, FALSE)</f>
        <v>Beauty</v>
      </c>
      <c r="M1846" t="str">
        <f>VLOOKUP(E1842, Sales_Reps!$A$2:$E$31, 3, FALSE)</f>
        <v>West</v>
      </c>
      <c r="N1846">
        <f>VLOOKUP(D1846, Products!$A$2:$F$61, 4, FALSE)</f>
        <v>2768</v>
      </c>
    </row>
    <row r="1847" spans="1:14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 t="str">
        <f>VLOOKUP(D1847, Products!$A$2:$F$61, 3, FALSE)</f>
        <v>Grocery</v>
      </c>
      <c r="M1847" t="str">
        <f>VLOOKUP(E1843, Sales_Reps!$A$2:$E$31, 3, FALSE)</f>
        <v>West</v>
      </c>
      <c r="N1847">
        <f>VLOOKUP(D1847, Products!$A$2:$F$61, 4, FALSE)</f>
        <v>1203</v>
      </c>
    </row>
    <row r="1848" spans="1:14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 t="str">
        <f>VLOOKUP(D1848, Products!$A$2:$F$61, 3, FALSE)</f>
        <v>Home</v>
      </c>
      <c r="M1848" t="str">
        <f>VLOOKUP(E1844, Sales_Reps!$A$2:$E$31, 3, FALSE)</f>
        <v>West</v>
      </c>
      <c r="N1848">
        <f>VLOOKUP(D1848, Products!$A$2:$F$61, 4, FALSE)</f>
        <v>464</v>
      </c>
    </row>
    <row r="1849" spans="1:14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 t="str">
        <f>VLOOKUP(D1849, Products!$A$2:$F$61, 3, FALSE)</f>
        <v>Home</v>
      </c>
      <c r="M1849" t="str">
        <f>VLOOKUP(E1845, Sales_Reps!$A$2:$E$31, 3, FALSE)</f>
        <v>West</v>
      </c>
      <c r="N1849">
        <f>VLOOKUP(D1849, Products!$A$2:$F$61, 4, FALSE)</f>
        <v>2459</v>
      </c>
    </row>
    <row r="1850" spans="1:14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 t="str">
        <f>VLOOKUP(D1850, Products!$A$2:$F$61, 3, FALSE)</f>
        <v>Home</v>
      </c>
      <c r="M1850" t="str">
        <f>VLOOKUP(E1846, Sales_Reps!$A$2:$E$31, 3, FALSE)</f>
        <v>South</v>
      </c>
      <c r="N1850">
        <f>VLOOKUP(D1850, Products!$A$2:$F$61, 4, FALSE)</f>
        <v>1850</v>
      </c>
    </row>
    <row r="1851" spans="1:14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 t="str">
        <f>VLOOKUP(D1851, Products!$A$2:$F$61, 3, FALSE)</f>
        <v>Beauty</v>
      </c>
      <c r="M1851" t="str">
        <f>VLOOKUP(E1847, Sales_Reps!$A$2:$E$31, 3, FALSE)</f>
        <v>West</v>
      </c>
      <c r="N1851">
        <f>VLOOKUP(D1851, Products!$A$2:$F$61, 4, FALSE)</f>
        <v>1626</v>
      </c>
    </row>
    <row r="1852" spans="1:14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 t="str">
        <f>VLOOKUP(D1852, Products!$A$2:$F$61, 3, FALSE)</f>
        <v>Grocery</v>
      </c>
      <c r="M1852" t="str">
        <f>VLOOKUP(E1848, Sales_Reps!$A$2:$E$31, 3, FALSE)</f>
        <v>West</v>
      </c>
      <c r="N1852">
        <f>VLOOKUP(D1852, Products!$A$2:$F$61, 4, FALSE)</f>
        <v>1412</v>
      </c>
    </row>
    <row r="1853" spans="1:14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 t="str">
        <f>VLOOKUP(D1853, Products!$A$2:$F$61, 3, FALSE)</f>
        <v>Grocery</v>
      </c>
      <c r="M1853" t="str">
        <f>VLOOKUP(E1849, Sales_Reps!$A$2:$E$31, 3, FALSE)</f>
        <v>West</v>
      </c>
      <c r="N1853">
        <f>VLOOKUP(D1853, Products!$A$2:$F$61, 4, FALSE)</f>
        <v>2027</v>
      </c>
    </row>
    <row r="1854" spans="1:14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 t="str">
        <f>VLOOKUP(D1854, Products!$A$2:$F$61, 3, FALSE)</f>
        <v>Electronics</v>
      </c>
      <c r="M1854" t="str">
        <f>VLOOKUP(E1850, Sales_Reps!$A$2:$E$31, 3, FALSE)</f>
        <v>East</v>
      </c>
      <c r="N1854">
        <f>VLOOKUP(D1854, Products!$A$2:$F$61, 4, FALSE)</f>
        <v>517</v>
      </c>
    </row>
    <row r="1855" spans="1:14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 t="str">
        <f>VLOOKUP(D1855, Products!$A$2:$F$61, 3, FALSE)</f>
        <v>Apparel</v>
      </c>
      <c r="M1855" t="str">
        <f>VLOOKUP(E1851, Sales_Reps!$A$2:$E$31, 3, FALSE)</f>
        <v>West</v>
      </c>
      <c r="N1855">
        <f>VLOOKUP(D1855, Products!$A$2:$F$61, 4, FALSE)</f>
        <v>1173</v>
      </c>
    </row>
    <row r="1856" spans="1:14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 t="str">
        <f>VLOOKUP(D1856, Products!$A$2:$F$61, 3, FALSE)</f>
        <v>Sports</v>
      </c>
      <c r="M1856" t="str">
        <f>VLOOKUP(E1852, Sales_Reps!$A$2:$E$31, 3, FALSE)</f>
        <v>West</v>
      </c>
      <c r="N1856">
        <f>VLOOKUP(D1856, Products!$A$2:$F$61, 4, FALSE)</f>
        <v>2028</v>
      </c>
    </row>
    <row r="1857" spans="1:14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 t="str">
        <f>VLOOKUP(D1857, Products!$A$2:$F$61, 3, FALSE)</f>
        <v>Grocery</v>
      </c>
      <c r="M1857" t="str">
        <f>VLOOKUP(E1853, Sales_Reps!$A$2:$E$31, 3, FALSE)</f>
        <v>South</v>
      </c>
      <c r="N1857">
        <f>VLOOKUP(D1857, Products!$A$2:$F$61, 4, FALSE)</f>
        <v>2436</v>
      </c>
    </row>
    <row r="1858" spans="1:14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 t="str">
        <f>VLOOKUP(D1858, Products!$A$2:$F$61, 3, FALSE)</f>
        <v>Sports</v>
      </c>
      <c r="M1858" t="str">
        <f>VLOOKUP(E1854, Sales_Reps!$A$2:$E$31, 3, FALSE)</f>
        <v>East</v>
      </c>
      <c r="N1858">
        <f>VLOOKUP(D1858, Products!$A$2:$F$61, 4, FALSE)</f>
        <v>2028</v>
      </c>
    </row>
    <row r="1859" spans="1:14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 t="str">
        <f>VLOOKUP(D1859, Products!$A$2:$F$61, 3, FALSE)</f>
        <v>Sports</v>
      </c>
      <c r="M1859" t="str">
        <f>VLOOKUP(E1855, Sales_Reps!$A$2:$E$31, 3, FALSE)</f>
        <v>West</v>
      </c>
      <c r="N1859">
        <f>VLOOKUP(D1859, Products!$A$2:$F$61, 4, FALSE)</f>
        <v>974</v>
      </c>
    </row>
    <row r="1860" spans="1:14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 t="str">
        <f>VLOOKUP(D1860, Products!$A$2:$F$61, 3, FALSE)</f>
        <v>Grocery</v>
      </c>
      <c r="M1860" t="str">
        <f>VLOOKUP(E1856, Sales_Reps!$A$2:$E$31, 3, FALSE)</f>
        <v>North</v>
      </c>
      <c r="N1860">
        <f>VLOOKUP(D1860, Products!$A$2:$F$61, 4, FALSE)</f>
        <v>1182</v>
      </c>
    </row>
    <row r="1861" spans="1:14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 t="str">
        <f>VLOOKUP(D1861, Products!$A$2:$F$61, 3, FALSE)</f>
        <v>Beauty</v>
      </c>
      <c r="M1861" t="str">
        <f>VLOOKUP(E1857, Sales_Reps!$A$2:$E$31, 3, FALSE)</f>
        <v>West</v>
      </c>
      <c r="N1861">
        <f>VLOOKUP(D1861, Products!$A$2:$F$61, 4, FALSE)</f>
        <v>2237</v>
      </c>
    </row>
    <row r="1862" spans="1:14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 t="str">
        <f>VLOOKUP(D1862, Products!$A$2:$F$61, 3, FALSE)</f>
        <v>Electronics</v>
      </c>
      <c r="M1862" t="str">
        <f>VLOOKUP(E1858, Sales_Reps!$A$2:$E$31, 3, FALSE)</f>
        <v>West</v>
      </c>
      <c r="N1862">
        <f>VLOOKUP(D1862, Products!$A$2:$F$61, 4, FALSE)</f>
        <v>128</v>
      </c>
    </row>
    <row r="1863" spans="1:14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 t="str">
        <f>VLOOKUP(D1863, Products!$A$2:$F$61, 3, FALSE)</f>
        <v>Sports</v>
      </c>
      <c r="M1863" t="str">
        <f>VLOOKUP(E1859, Sales_Reps!$A$2:$E$31, 3, FALSE)</f>
        <v>West</v>
      </c>
      <c r="N1863">
        <f>VLOOKUP(D1863, Products!$A$2:$F$61, 4, FALSE)</f>
        <v>2467</v>
      </c>
    </row>
    <row r="1864" spans="1:14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 t="str">
        <f>VLOOKUP(D1864, Products!$A$2:$F$61, 3, FALSE)</f>
        <v>Sports</v>
      </c>
      <c r="M1864" t="str">
        <f>VLOOKUP(E1860, Sales_Reps!$A$2:$E$31, 3, FALSE)</f>
        <v>West</v>
      </c>
      <c r="N1864">
        <f>VLOOKUP(D1864, Products!$A$2:$F$61, 4, FALSE)</f>
        <v>2028</v>
      </c>
    </row>
    <row r="1865" spans="1:14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 t="str">
        <f>VLOOKUP(D1865, Products!$A$2:$F$61, 3, FALSE)</f>
        <v>Apparel</v>
      </c>
      <c r="M1865" t="str">
        <f>VLOOKUP(E1861, Sales_Reps!$A$2:$E$31, 3, FALSE)</f>
        <v>North</v>
      </c>
      <c r="N1865">
        <f>VLOOKUP(D1865, Products!$A$2:$F$61, 4, FALSE)</f>
        <v>1962</v>
      </c>
    </row>
    <row r="1866" spans="1:14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 t="str">
        <f>VLOOKUP(D1866, Products!$A$2:$F$61, 3, FALSE)</f>
        <v>Home</v>
      </c>
      <c r="M1866" t="str">
        <f>VLOOKUP(E1862, Sales_Reps!$A$2:$E$31, 3, FALSE)</f>
        <v>South</v>
      </c>
      <c r="N1866">
        <f>VLOOKUP(D1866, Products!$A$2:$F$61, 4, FALSE)</f>
        <v>2135</v>
      </c>
    </row>
    <row r="1867" spans="1:14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 t="str">
        <f>VLOOKUP(D1867, Products!$A$2:$F$61, 3, FALSE)</f>
        <v>Grocery</v>
      </c>
      <c r="M1867" t="str">
        <f>VLOOKUP(E1863, Sales_Reps!$A$2:$E$31, 3, FALSE)</f>
        <v>South</v>
      </c>
      <c r="N1867">
        <f>VLOOKUP(D1867, Products!$A$2:$F$61, 4, FALSE)</f>
        <v>2911</v>
      </c>
    </row>
    <row r="1868" spans="1:14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 t="str">
        <f>VLOOKUP(D1868, Products!$A$2:$F$61, 3, FALSE)</f>
        <v>Beauty</v>
      </c>
      <c r="M1868" t="str">
        <f>VLOOKUP(E1864, Sales_Reps!$A$2:$E$31, 3, FALSE)</f>
        <v>South</v>
      </c>
      <c r="N1868">
        <f>VLOOKUP(D1868, Products!$A$2:$F$61, 4, FALSE)</f>
        <v>1219</v>
      </c>
    </row>
    <row r="1869" spans="1:14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 t="str">
        <f>VLOOKUP(D1869, Products!$A$2:$F$61, 3, FALSE)</f>
        <v>Sports</v>
      </c>
      <c r="M1869" t="str">
        <f>VLOOKUP(E1865, Sales_Reps!$A$2:$E$31, 3, FALSE)</f>
        <v>North</v>
      </c>
      <c r="N1869">
        <f>VLOOKUP(D1869, Products!$A$2:$F$61, 4, FALSE)</f>
        <v>2827</v>
      </c>
    </row>
    <row r="1870" spans="1:14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 t="str">
        <f>VLOOKUP(D1870, Products!$A$2:$F$61, 3, FALSE)</f>
        <v>Home</v>
      </c>
      <c r="M1870" t="str">
        <f>VLOOKUP(E1866, Sales_Reps!$A$2:$E$31, 3, FALSE)</f>
        <v>West</v>
      </c>
      <c r="N1870">
        <f>VLOOKUP(D1870, Products!$A$2:$F$61, 4, FALSE)</f>
        <v>2135</v>
      </c>
    </row>
    <row r="1871" spans="1:14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 t="str">
        <f>VLOOKUP(D1871, Products!$A$2:$F$61, 3, FALSE)</f>
        <v>Home</v>
      </c>
      <c r="M1871" t="str">
        <f>VLOOKUP(E1867, Sales_Reps!$A$2:$E$31, 3, FALSE)</f>
        <v>North</v>
      </c>
      <c r="N1871">
        <f>VLOOKUP(D1871, Products!$A$2:$F$61, 4, FALSE)</f>
        <v>2135</v>
      </c>
    </row>
    <row r="1872" spans="1:14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 t="str">
        <f>VLOOKUP(D1872, Products!$A$2:$F$61, 3, FALSE)</f>
        <v>Grocery</v>
      </c>
      <c r="M1872" t="str">
        <f>VLOOKUP(E1868, Sales_Reps!$A$2:$E$31, 3, FALSE)</f>
        <v>East</v>
      </c>
      <c r="N1872">
        <f>VLOOKUP(D1872, Products!$A$2:$F$61, 4, FALSE)</f>
        <v>1182</v>
      </c>
    </row>
    <row r="1873" spans="1:14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 t="str">
        <f>VLOOKUP(D1873, Products!$A$2:$F$61, 3, FALSE)</f>
        <v>Home</v>
      </c>
      <c r="M1873" t="str">
        <f>VLOOKUP(E1869, Sales_Reps!$A$2:$E$31, 3, FALSE)</f>
        <v>South</v>
      </c>
      <c r="N1873">
        <f>VLOOKUP(D1873, Products!$A$2:$F$61, 4, FALSE)</f>
        <v>519</v>
      </c>
    </row>
    <row r="1874" spans="1:14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 t="str">
        <f>VLOOKUP(D1874, Products!$A$2:$F$61, 3, FALSE)</f>
        <v>Sports</v>
      </c>
      <c r="M1874" t="str">
        <f>VLOOKUP(E1870, Sales_Reps!$A$2:$E$31, 3, FALSE)</f>
        <v>South</v>
      </c>
      <c r="N1874">
        <f>VLOOKUP(D1874, Products!$A$2:$F$61, 4, FALSE)</f>
        <v>302</v>
      </c>
    </row>
    <row r="1875" spans="1:14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 t="str">
        <f>VLOOKUP(D1875, Products!$A$2:$F$61, 3, FALSE)</f>
        <v>Home</v>
      </c>
      <c r="M1875" t="str">
        <f>VLOOKUP(E1871, Sales_Reps!$A$2:$E$31, 3, FALSE)</f>
        <v>North</v>
      </c>
      <c r="N1875">
        <f>VLOOKUP(D1875, Products!$A$2:$F$61, 4, FALSE)</f>
        <v>288</v>
      </c>
    </row>
    <row r="1876" spans="1:14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 t="str">
        <f>VLOOKUP(D1876, Products!$A$2:$F$61, 3, FALSE)</f>
        <v>Apparel</v>
      </c>
      <c r="M1876" t="str">
        <f>VLOOKUP(E1872, Sales_Reps!$A$2:$E$31, 3, FALSE)</f>
        <v>South</v>
      </c>
      <c r="N1876">
        <f>VLOOKUP(D1876, Products!$A$2:$F$61, 4, FALSE)</f>
        <v>1886</v>
      </c>
    </row>
    <row r="1877" spans="1:14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 t="str">
        <f>VLOOKUP(D1877, Products!$A$2:$F$61, 3, FALSE)</f>
        <v>Apparel</v>
      </c>
      <c r="M1877" t="str">
        <f>VLOOKUP(E1873, Sales_Reps!$A$2:$E$31, 3, FALSE)</f>
        <v>North</v>
      </c>
      <c r="N1877">
        <f>VLOOKUP(D1877, Products!$A$2:$F$61, 4, FALSE)</f>
        <v>2629</v>
      </c>
    </row>
    <row r="1878" spans="1:14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 t="str">
        <f>VLOOKUP(D1878, Products!$A$2:$F$61, 3, FALSE)</f>
        <v>Home</v>
      </c>
      <c r="M1878" t="str">
        <f>VLOOKUP(E1874, Sales_Reps!$A$2:$E$31, 3, FALSE)</f>
        <v>South</v>
      </c>
      <c r="N1878">
        <f>VLOOKUP(D1878, Products!$A$2:$F$61, 4, FALSE)</f>
        <v>1143</v>
      </c>
    </row>
    <row r="1879" spans="1:14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 t="str">
        <f>VLOOKUP(D1879, Products!$A$2:$F$61, 3, FALSE)</f>
        <v>Electronics</v>
      </c>
      <c r="M1879" t="str">
        <f>VLOOKUP(E1875, Sales_Reps!$A$2:$E$31, 3, FALSE)</f>
        <v>West</v>
      </c>
      <c r="N1879">
        <f>VLOOKUP(D1879, Products!$A$2:$F$61, 4, FALSE)</f>
        <v>1149</v>
      </c>
    </row>
    <row r="1880" spans="1:14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 t="str">
        <f>VLOOKUP(D1880, Products!$A$2:$F$61, 3, FALSE)</f>
        <v>Grocery</v>
      </c>
      <c r="M1880" t="str">
        <f>VLOOKUP(E1876, Sales_Reps!$A$2:$E$31, 3, FALSE)</f>
        <v>North</v>
      </c>
      <c r="N1880">
        <f>VLOOKUP(D1880, Products!$A$2:$F$61, 4, FALSE)</f>
        <v>1412</v>
      </c>
    </row>
    <row r="1881" spans="1:14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 t="str">
        <f>VLOOKUP(D1881, Products!$A$2:$F$61, 3, FALSE)</f>
        <v>Home</v>
      </c>
      <c r="M1881" t="str">
        <f>VLOOKUP(E1877, Sales_Reps!$A$2:$E$31, 3, FALSE)</f>
        <v>West</v>
      </c>
      <c r="N1881">
        <f>VLOOKUP(D1881, Products!$A$2:$F$61, 4, FALSE)</f>
        <v>288</v>
      </c>
    </row>
    <row r="1882" spans="1:14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 t="str">
        <f>VLOOKUP(D1882, Products!$A$2:$F$61, 3, FALSE)</f>
        <v>Beauty</v>
      </c>
      <c r="M1882" t="str">
        <f>VLOOKUP(E1878, Sales_Reps!$A$2:$E$31, 3, FALSE)</f>
        <v>East</v>
      </c>
      <c r="N1882">
        <f>VLOOKUP(D1882, Products!$A$2:$F$61, 4, FALSE)</f>
        <v>2237</v>
      </c>
    </row>
    <row r="1883" spans="1:14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 t="str">
        <f>VLOOKUP(D1883, Products!$A$2:$F$61, 3, FALSE)</f>
        <v>Home</v>
      </c>
      <c r="M1883" t="str">
        <f>VLOOKUP(E1879, Sales_Reps!$A$2:$E$31, 3, FALSE)</f>
        <v>East</v>
      </c>
      <c r="N1883">
        <f>VLOOKUP(D1883, Products!$A$2:$F$61, 4, FALSE)</f>
        <v>288</v>
      </c>
    </row>
    <row r="1884" spans="1:14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 t="str">
        <f>VLOOKUP(D1884, Products!$A$2:$F$61, 3, FALSE)</f>
        <v>Grocery</v>
      </c>
      <c r="M1884" t="str">
        <f>VLOOKUP(E1880, Sales_Reps!$A$2:$E$31, 3, FALSE)</f>
        <v>North</v>
      </c>
      <c r="N1884">
        <f>VLOOKUP(D1884, Products!$A$2:$F$61, 4, FALSE)</f>
        <v>434</v>
      </c>
    </row>
    <row r="1885" spans="1:14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 t="str">
        <f>VLOOKUP(D1885, Products!$A$2:$F$61, 3, FALSE)</f>
        <v>Grocery</v>
      </c>
      <c r="M1885" t="str">
        <f>VLOOKUP(E1881, Sales_Reps!$A$2:$E$31, 3, FALSE)</f>
        <v>North</v>
      </c>
      <c r="N1885">
        <f>VLOOKUP(D1885, Products!$A$2:$F$61, 4, FALSE)</f>
        <v>1010</v>
      </c>
    </row>
    <row r="1886" spans="1:14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 t="str">
        <f>VLOOKUP(D1886, Products!$A$2:$F$61, 3, FALSE)</f>
        <v>Beauty</v>
      </c>
      <c r="M1886" t="str">
        <f>VLOOKUP(E1882, Sales_Reps!$A$2:$E$31, 3, FALSE)</f>
        <v>East</v>
      </c>
      <c r="N1886">
        <f>VLOOKUP(D1886, Products!$A$2:$F$61, 4, FALSE)</f>
        <v>1222</v>
      </c>
    </row>
    <row r="1887" spans="1:14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 t="str">
        <f>VLOOKUP(D1887, Products!$A$2:$F$61, 3, FALSE)</f>
        <v>Sports</v>
      </c>
      <c r="M1887" t="str">
        <f>VLOOKUP(E1883, Sales_Reps!$A$2:$E$31, 3, FALSE)</f>
        <v>East</v>
      </c>
      <c r="N1887">
        <f>VLOOKUP(D1887, Products!$A$2:$F$61, 4, FALSE)</f>
        <v>2827</v>
      </c>
    </row>
    <row r="1888" spans="1:14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 t="str">
        <f>VLOOKUP(D1888, Products!$A$2:$F$61, 3, FALSE)</f>
        <v>Grocery</v>
      </c>
      <c r="M1888" t="str">
        <f>VLOOKUP(E1884, Sales_Reps!$A$2:$E$31, 3, FALSE)</f>
        <v>North</v>
      </c>
      <c r="N1888">
        <f>VLOOKUP(D1888, Products!$A$2:$F$61, 4, FALSE)</f>
        <v>1010</v>
      </c>
    </row>
    <row r="1889" spans="1:14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 t="str">
        <f>VLOOKUP(D1889, Products!$A$2:$F$61, 3, FALSE)</f>
        <v>Electronics</v>
      </c>
      <c r="M1889" t="str">
        <f>VLOOKUP(E1885, Sales_Reps!$A$2:$E$31, 3, FALSE)</f>
        <v>West</v>
      </c>
      <c r="N1889">
        <f>VLOOKUP(D1889, Products!$A$2:$F$61, 4, FALSE)</f>
        <v>1052</v>
      </c>
    </row>
    <row r="1890" spans="1:14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 t="str">
        <f>VLOOKUP(D1890, Products!$A$2:$F$61, 3, FALSE)</f>
        <v>Sports</v>
      </c>
      <c r="M1890" t="str">
        <f>VLOOKUP(E1886, Sales_Reps!$A$2:$E$31, 3, FALSE)</f>
        <v>North</v>
      </c>
      <c r="N1890">
        <f>VLOOKUP(D1890, Products!$A$2:$F$61, 4, FALSE)</f>
        <v>1860</v>
      </c>
    </row>
    <row r="1891" spans="1:14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 t="str">
        <f>VLOOKUP(D1891, Products!$A$2:$F$61, 3, FALSE)</f>
        <v>Sports</v>
      </c>
      <c r="M1891" t="str">
        <f>VLOOKUP(E1887, Sales_Reps!$A$2:$E$31, 3, FALSE)</f>
        <v>North</v>
      </c>
      <c r="N1891">
        <f>VLOOKUP(D1891, Products!$A$2:$F$61, 4, FALSE)</f>
        <v>974</v>
      </c>
    </row>
    <row r="1892" spans="1:14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 t="str">
        <f>VLOOKUP(D1892, Products!$A$2:$F$61, 3, FALSE)</f>
        <v>Electronics</v>
      </c>
      <c r="M1892" t="str">
        <f>VLOOKUP(E1888, Sales_Reps!$A$2:$E$31, 3, FALSE)</f>
        <v>East</v>
      </c>
      <c r="N1892">
        <f>VLOOKUP(D1892, Products!$A$2:$F$61, 4, FALSE)</f>
        <v>128</v>
      </c>
    </row>
    <row r="1893" spans="1:14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 t="str">
        <f>VLOOKUP(D1893, Products!$A$2:$F$61, 3, FALSE)</f>
        <v>Grocery</v>
      </c>
      <c r="M1893" t="str">
        <f>VLOOKUP(E1889, Sales_Reps!$A$2:$E$31, 3, FALSE)</f>
        <v>South</v>
      </c>
      <c r="N1893">
        <f>VLOOKUP(D1893, Products!$A$2:$F$61, 4, FALSE)</f>
        <v>2214</v>
      </c>
    </row>
    <row r="1894" spans="1:14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 t="str">
        <f>VLOOKUP(D1894, Products!$A$2:$F$61, 3, FALSE)</f>
        <v>Sports</v>
      </c>
      <c r="M1894" t="str">
        <f>VLOOKUP(E1890, Sales_Reps!$A$2:$E$31, 3, FALSE)</f>
        <v>North</v>
      </c>
      <c r="N1894">
        <f>VLOOKUP(D1894, Products!$A$2:$F$61, 4, FALSE)</f>
        <v>2467</v>
      </c>
    </row>
    <row r="1895" spans="1:14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 t="str">
        <f>VLOOKUP(D1895, Products!$A$2:$F$61, 3, FALSE)</f>
        <v>Apparel</v>
      </c>
      <c r="M1895" t="str">
        <f>VLOOKUP(E1891, Sales_Reps!$A$2:$E$31, 3, FALSE)</f>
        <v>South</v>
      </c>
      <c r="N1895">
        <f>VLOOKUP(D1895, Products!$A$2:$F$61, 4, FALSE)</f>
        <v>1748</v>
      </c>
    </row>
    <row r="1896" spans="1:14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 t="str">
        <f>VLOOKUP(D1896, Products!$A$2:$F$61, 3, FALSE)</f>
        <v>Grocery</v>
      </c>
      <c r="M1896" t="str">
        <f>VLOOKUP(E1892, Sales_Reps!$A$2:$E$31, 3, FALSE)</f>
        <v>North</v>
      </c>
      <c r="N1896">
        <f>VLOOKUP(D1896, Products!$A$2:$F$61, 4, FALSE)</f>
        <v>2027</v>
      </c>
    </row>
    <row r="1897" spans="1:14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 t="str">
        <f>VLOOKUP(D1897, Products!$A$2:$F$61, 3, FALSE)</f>
        <v>Sports</v>
      </c>
      <c r="M1897" t="str">
        <f>VLOOKUP(E1893, Sales_Reps!$A$2:$E$31, 3, FALSE)</f>
        <v>South</v>
      </c>
      <c r="N1897">
        <f>VLOOKUP(D1897, Products!$A$2:$F$61, 4, FALSE)</f>
        <v>1860</v>
      </c>
    </row>
    <row r="1898" spans="1:14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 t="str">
        <f>VLOOKUP(D1898, Products!$A$2:$F$61, 3, FALSE)</f>
        <v>Grocery</v>
      </c>
      <c r="M1898" t="str">
        <f>VLOOKUP(E1894, Sales_Reps!$A$2:$E$31, 3, FALSE)</f>
        <v>South</v>
      </c>
      <c r="N1898">
        <f>VLOOKUP(D1898, Products!$A$2:$F$61, 4, FALSE)</f>
        <v>1435</v>
      </c>
    </row>
    <row r="1899" spans="1:14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 t="str">
        <f>VLOOKUP(D1899, Products!$A$2:$F$61, 3, FALSE)</f>
        <v>Beauty</v>
      </c>
      <c r="M1899" t="str">
        <f>VLOOKUP(E1895, Sales_Reps!$A$2:$E$31, 3, FALSE)</f>
        <v>North</v>
      </c>
      <c r="N1899">
        <f>VLOOKUP(D1899, Products!$A$2:$F$61, 4, FALSE)</f>
        <v>2768</v>
      </c>
    </row>
    <row r="1900" spans="1:14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 t="str">
        <f>VLOOKUP(D1900, Products!$A$2:$F$61, 3, FALSE)</f>
        <v>Grocery</v>
      </c>
      <c r="M1900" t="str">
        <f>VLOOKUP(E1896, Sales_Reps!$A$2:$E$31, 3, FALSE)</f>
        <v>North</v>
      </c>
      <c r="N1900">
        <f>VLOOKUP(D1900, Products!$A$2:$F$61, 4, FALSE)</f>
        <v>1182</v>
      </c>
    </row>
    <row r="1901" spans="1:14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 t="str">
        <f>VLOOKUP(D1901, Products!$A$2:$F$61, 3, FALSE)</f>
        <v>Beauty</v>
      </c>
      <c r="M1901" t="str">
        <f>VLOOKUP(E1897, Sales_Reps!$A$2:$E$31, 3, FALSE)</f>
        <v>East</v>
      </c>
      <c r="N1901">
        <f>VLOOKUP(D1901, Products!$A$2:$F$61, 4, FALSE)</f>
        <v>1219</v>
      </c>
    </row>
    <row r="1902" spans="1:14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 t="str">
        <f>VLOOKUP(D1902, Products!$A$2:$F$61, 3, FALSE)</f>
        <v>Grocery</v>
      </c>
      <c r="M1902" t="str">
        <f>VLOOKUP(E1898, Sales_Reps!$A$2:$E$31, 3, FALSE)</f>
        <v>North</v>
      </c>
      <c r="N1902">
        <f>VLOOKUP(D1902, Products!$A$2:$F$61, 4, FALSE)</f>
        <v>1435</v>
      </c>
    </row>
    <row r="1903" spans="1:14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 t="str">
        <f>VLOOKUP(D1903, Products!$A$2:$F$61, 3, FALSE)</f>
        <v>Grocery</v>
      </c>
      <c r="M1903" t="str">
        <f>VLOOKUP(E1899, Sales_Reps!$A$2:$E$31, 3, FALSE)</f>
        <v>West</v>
      </c>
      <c r="N1903">
        <f>VLOOKUP(D1903, Products!$A$2:$F$61, 4, FALSE)</f>
        <v>2911</v>
      </c>
    </row>
    <row r="1904" spans="1:14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 t="str">
        <f>VLOOKUP(D1904, Products!$A$2:$F$61, 3, FALSE)</f>
        <v>Electronics</v>
      </c>
      <c r="M1904" t="str">
        <f>VLOOKUP(E1900, Sales_Reps!$A$2:$E$31, 3, FALSE)</f>
        <v>East</v>
      </c>
      <c r="N1904">
        <f>VLOOKUP(D1904, Products!$A$2:$F$61, 4, FALSE)</f>
        <v>1149</v>
      </c>
    </row>
    <row r="1905" spans="1:14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 t="str">
        <f>VLOOKUP(D1905, Products!$A$2:$F$61, 3, FALSE)</f>
        <v>Home</v>
      </c>
      <c r="M1905" t="str">
        <f>VLOOKUP(E1901, Sales_Reps!$A$2:$E$31, 3, FALSE)</f>
        <v>North</v>
      </c>
      <c r="N1905">
        <f>VLOOKUP(D1905, Products!$A$2:$F$61, 4, FALSE)</f>
        <v>1850</v>
      </c>
    </row>
    <row r="1906" spans="1:14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 t="str">
        <f>VLOOKUP(D1906, Products!$A$2:$F$61, 3, FALSE)</f>
        <v>Grocery</v>
      </c>
      <c r="M1906" t="str">
        <f>VLOOKUP(E1902, Sales_Reps!$A$2:$E$31, 3, FALSE)</f>
        <v>North</v>
      </c>
      <c r="N1906">
        <f>VLOOKUP(D1906, Products!$A$2:$F$61, 4, FALSE)</f>
        <v>1010</v>
      </c>
    </row>
    <row r="1907" spans="1:14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 t="str">
        <f>VLOOKUP(D1907, Products!$A$2:$F$61, 3, FALSE)</f>
        <v>Grocery</v>
      </c>
      <c r="M1907" t="str">
        <f>VLOOKUP(E1903, Sales_Reps!$A$2:$E$31, 3, FALSE)</f>
        <v>West</v>
      </c>
      <c r="N1907">
        <f>VLOOKUP(D1907, Products!$A$2:$F$61, 4, FALSE)</f>
        <v>1010</v>
      </c>
    </row>
    <row r="1908" spans="1:14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 t="str">
        <f>VLOOKUP(D1908, Products!$A$2:$F$61, 3, FALSE)</f>
        <v>Home</v>
      </c>
      <c r="M1908" t="str">
        <f>VLOOKUP(E1904, Sales_Reps!$A$2:$E$31, 3, FALSE)</f>
        <v>North</v>
      </c>
      <c r="N1908">
        <f>VLOOKUP(D1908, Products!$A$2:$F$61, 4, FALSE)</f>
        <v>464</v>
      </c>
    </row>
    <row r="1909" spans="1:14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 t="str">
        <f>VLOOKUP(D1909, Products!$A$2:$F$61, 3, FALSE)</f>
        <v>Home</v>
      </c>
      <c r="M1909" t="str">
        <f>VLOOKUP(E1905, Sales_Reps!$A$2:$E$31, 3, FALSE)</f>
        <v>North</v>
      </c>
      <c r="N1909">
        <f>VLOOKUP(D1909, Products!$A$2:$F$61, 4, FALSE)</f>
        <v>288</v>
      </c>
    </row>
    <row r="1910" spans="1:14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 t="str">
        <f>VLOOKUP(D1910, Products!$A$2:$F$61, 3, FALSE)</f>
        <v>Electronics</v>
      </c>
      <c r="M1910" t="str">
        <f>VLOOKUP(E1906, Sales_Reps!$A$2:$E$31, 3, FALSE)</f>
        <v>West</v>
      </c>
      <c r="N1910">
        <f>VLOOKUP(D1910, Products!$A$2:$F$61, 4, FALSE)</f>
        <v>1665</v>
      </c>
    </row>
    <row r="1911" spans="1:14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 t="str">
        <f>VLOOKUP(D1911, Products!$A$2:$F$61, 3, FALSE)</f>
        <v>Home</v>
      </c>
      <c r="M1911" t="str">
        <f>VLOOKUP(E1907, Sales_Reps!$A$2:$E$31, 3, FALSE)</f>
        <v>South</v>
      </c>
      <c r="N1911">
        <f>VLOOKUP(D1911, Products!$A$2:$F$61, 4, FALSE)</f>
        <v>1556</v>
      </c>
    </row>
    <row r="1912" spans="1:14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 t="str">
        <f>VLOOKUP(D1912, Products!$A$2:$F$61, 3, FALSE)</f>
        <v>Home</v>
      </c>
      <c r="M1912" t="str">
        <f>VLOOKUP(E1908, Sales_Reps!$A$2:$E$31, 3, FALSE)</f>
        <v>South</v>
      </c>
      <c r="N1912">
        <f>VLOOKUP(D1912, Products!$A$2:$F$61, 4, FALSE)</f>
        <v>1556</v>
      </c>
    </row>
    <row r="1913" spans="1:14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 t="str">
        <f>VLOOKUP(D1913, Products!$A$2:$F$61, 3, FALSE)</f>
        <v>Sports</v>
      </c>
      <c r="M1913" t="str">
        <f>VLOOKUP(E1909, Sales_Reps!$A$2:$E$31, 3, FALSE)</f>
        <v>North</v>
      </c>
      <c r="N1913">
        <f>VLOOKUP(D1913, Products!$A$2:$F$61, 4, FALSE)</f>
        <v>705</v>
      </c>
    </row>
    <row r="1914" spans="1:14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 t="str">
        <f>VLOOKUP(D1914, Products!$A$2:$F$61, 3, FALSE)</f>
        <v>Beauty</v>
      </c>
      <c r="M1914" t="str">
        <f>VLOOKUP(E1910, Sales_Reps!$A$2:$E$31, 3, FALSE)</f>
        <v>West</v>
      </c>
      <c r="N1914">
        <f>VLOOKUP(D1914, Products!$A$2:$F$61, 4, FALSE)</f>
        <v>2617</v>
      </c>
    </row>
    <row r="1915" spans="1:14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 t="str">
        <f>VLOOKUP(D1915, Products!$A$2:$F$61, 3, FALSE)</f>
        <v>Home</v>
      </c>
      <c r="M1915" t="str">
        <f>VLOOKUP(E1911, Sales_Reps!$A$2:$E$31, 3, FALSE)</f>
        <v>South</v>
      </c>
      <c r="N1915">
        <f>VLOOKUP(D1915, Products!$A$2:$F$61, 4, FALSE)</f>
        <v>1850</v>
      </c>
    </row>
    <row r="1916" spans="1:14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 t="str">
        <f>VLOOKUP(D1916, Products!$A$2:$F$61, 3, FALSE)</f>
        <v>Home</v>
      </c>
      <c r="M1916" t="str">
        <f>VLOOKUP(E1912, Sales_Reps!$A$2:$E$31, 3, FALSE)</f>
        <v>West</v>
      </c>
      <c r="N1916">
        <f>VLOOKUP(D1916, Products!$A$2:$F$61, 4, FALSE)</f>
        <v>2459</v>
      </c>
    </row>
    <row r="1917" spans="1:14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 t="str">
        <f>VLOOKUP(D1917, Products!$A$2:$F$61, 3, FALSE)</f>
        <v>Beauty</v>
      </c>
      <c r="M1917" t="str">
        <f>VLOOKUP(E1913, Sales_Reps!$A$2:$E$31, 3, FALSE)</f>
        <v>West</v>
      </c>
      <c r="N1917">
        <f>VLOOKUP(D1917, Products!$A$2:$F$61, 4, FALSE)</f>
        <v>1728</v>
      </c>
    </row>
    <row r="1918" spans="1:14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 t="str">
        <f>VLOOKUP(D1918, Products!$A$2:$F$61, 3, FALSE)</f>
        <v>Grocery</v>
      </c>
      <c r="M1918" t="str">
        <f>VLOOKUP(E1914, Sales_Reps!$A$2:$E$31, 3, FALSE)</f>
        <v>South</v>
      </c>
      <c r="N1918">
        <f>VLOOKUP(D1918, Products!$A$2:$F$61, 4, FALSE)</f>
        <v>2436</v>
      </c>
    </row>
    <row r="1919" spans="1:14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 t="str">
        <f>VLOOKUP(D1919, Products!$A$2:$F$61, 3, FALSE)</f>
        <v>Beauty</v>
      </c>
      <c r="M1919" t="str">
        <f>VLOOKUP(E1915, Sales_Reps!$A$2:$E$31, 3, FALSE)</f>
        <v>East</v>
      </c>
      <c r="N1919">
        <f>VLOOKUP(D1919, Products!$A$2:$F$61, 4, FALSE)</f>
        <v>2768</v>
      </c>
    </row>
    <row r="1920" spans="1:14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 t="str">
        <f>VLOOKUP(D1920, Products!$A$2:$F$61, 3, FALSE)</f>
        <v>Beauty</v>
      </c>
      <c r="M1920" t="str">
        <f>VLOOKUP(E1916, Sales_Reps!$A$2:$E$31, 3, FALSE)</f>
        <v>East</v>
      </c>
      <c r="N1920">
        <f>VLOOKUP(D1920, Products!$A$2:$F$61, 4, FALSE)</f>
        <v>2237</v>
      </c>
    </row>
    <row r="1921" spans="1:14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 t="str">
        <f>VLOOKUP(D1921, Products!$A$2:$F$61, 3, FALSE)</f>
        <v>Electronics</v>
      </c>
      <c r="M1921" t="str">
        <f>VLOOKUP(E1917, Sales_Reps!$A$2:$E$31, 3, FALSE)</f>
        <v>East</v>
      </c>
      <c r="N1921">
        <f>VLOOKUP(D1921, Products!$A$2:$F$61, 4, FALSE)</f>
        <v>1259</v>
      </c>
    </row>
    <row r="1922" spans="1:14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 t="str">
        <f>VLOOKUP(D1922, Products!$A$2:$F$61, 3, FALSE)</f>
        <v>Grocery</v>
      </c>
      <c r="M1922" t="str">
        <f>VLOOKUP(E1918, Sales_Reps!$A$2:$E$31, 3, FALSE)</f>
        <v>South</v>
      </c>
      <c r="N1922">
        <f>VLOOKUP(D1922, Products!$A$2:$F$61, 4, FALSE)</f>
        <v>1182</v>
      </c>
    </row>
    <row r="1923" spans="1:14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 t="str">
        <f>VLOOKUP(D1923, Products!$A$2:$F$61, 3, FALSE)</f>
        <v>Beauty</v>
      </c>
      <c r="M1923" t="str">
        <f>VLOOKUP(E1919, Sales_Reps!$A$2:$E$31, 3, FALSE)</f>
        <v>East</v>
      </c>
      <c r="N1923">
        <f>VLOOKUP(D1923, Products!$A$2:$F$61, 4, FALSE)</f>
        <v>2768</v>
      </c>
    </row>
    <row r="1924" spans="1:14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 t="str">
        <f>VLOOKUP(D1924, Products!$A$2:$F$61, 3, FALSE)</f>
        <v>Home</v>
      </c>
      <c r="M1924" t="str">
        <f>VLOOKUP(E1920, Sales_Reps!$A$2:$E$31, 3, FALSE)</f>
        <v>West</v>
      </c>
      <c r="N1924">
        <f>VLOOKUP(D1924, Products!$A$2:$F$61, 4, FALSE)</f>
        <v>2135</v>
      </c>
    </row>
    <row r="1925" spans="1:14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 t="str">
        <f>VLOOKUP(D1925, Products!$A$2:$F$61, 3, FALSE)</f>
        <v>Sports</v>
      </c>
      <c r="M1925" t="str">
        <f>VLOOKUP(E1921, Sales_Reps!$A$2:$E$31, 3, FALSE)</f>
        <v>East</v>
      </c>
      <c r="N1925">
        <f>VLOOKUP(D1925, Products!$A$2:$F$61, 4, FALSE)</f>
        <v>1860</v>
      </c>
    </row>
    <row r="1926" spans="1:14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 t="str">
        <f>VLOOKUP(D1926, Products!$A$2:$F$61, 3, FALSE)</f>
        <v>Apparel</v>
      </c>
      <c r="M1926" t="str">
        <f>VLOOKUP(E1922, Sales_Reps!$A$2:$E$31, 3, FALSE)</f>
        <v>East</v>
      </c>
      <c r="N1926">
        <f>VLOOKUP(D1926, Products!$A$2:$F$61, 4, FALSE)</f>
        <v>2509</v>
      </c>
    </row>
    <row r="1927" spans="1:14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 t="str">
        <f>VLOOKUP(D1927, Products!$A$2:$F$61, 3, FALSE)</f>
        <v>Home</v>
      </c>
      <c r="M1927" t="str">
        <f>VLOOKUP(E1923, Sales_Reps!$A$2:$E$31, 3, FALSE)</f>
        <v>North</v>
      </c>
      <c r="N1927">
        <f>VLOOKUP(D1927, Products!$A$2:$F$61, 4, FALSE)</f>
        <v>2459</v>
      </c>
    </row>
    <row r="1928" spans="1:14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 t="str">
        <f>VLOOKUP(D1928, Products!$A$2:$F$61, 3, FALSE)</f>
        <v>Apparel</v>
      </c>
      <c r="M1928" t="str">
        <f>VLOOKUP(E1924, Sales_Reps!$A$2:$E$31, 3, FALSE)</f>
        <v>South</v>
      </c>
      <c r="N1928">
        <f>VLOOKUP(D1928, Products!$A$2:$F$61, 4, FALSE)</f>
        <v>2629</v>
      </c>
    </row>
    <row r="1929" spans="1:14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 t="str">
        <f>VLOOKUP(D1929, Products!$A$2:$F$61, 3, FALSE)</f>
        <v>Grocery</v>
      </c>
      <c r="M1929" t="str">
        <f>VLOOKUP(E1925, Sales_Reps!$A$2:$E$31, 3, FALSE)</f>
        <v>North</v>
      </c>
      <c r="N1929">
        <f>VLOOKUP(D1929, Products!$A$2:$F$61, 4, FALSE)</f>
        <v>434</v>
      </c>
    </row>
    <row r="1930" spans="1:14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 t="str">
        <f>VLOOKUP(D1930, Products!$A$2:$F$61, 3, FALSE)</f>
        <v>Beauty</v>
      </c>
      <c r="M1930" t="str">
        <f>VLOOKUP(E1926, Sales_Reps!$A$2:$E$31, 3, FALSE)</f>
        <v>East</v>
      </c>
      <c r="N1930">
        <f>VLOOKUP(D1930, Products!$A$2:$F$61, 4, FALSE)</f>
        <v>1728</v>
      </c>
    </row>
    <row r="1931" spans="1:14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 t="str">
        <f>VLOOKUP(D1931, Products!$A$2:$F$61, 3, FALSE)</f>
        <v>Home</v>
      </c>
      <c r="M1931" t="str">
        <f>VLOOKUP(E1927, Sales_Reps!$A$2:$E$31, 3, FALSE)</f>
        <v>East</v>
      </c>
      <c r="N1931">
        <f>VLOOKUP(D1931, Products!$A$2:$F$61, 4, FALSE)</f>
        <v>288</v>
      </c>
    </row>
    <row r="1932" spans="1:14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 t="str">
        <f>VLOOKUP(D1932, Products!$A$2:$F$61, 3, FALSE)</f>
        <v>Grocery</v>
      </c>
      <c r="M1932" t="str">
        <f>VLOOKUP(E1928, Sales_Reps!$A$2:$E$31, 3, FALSE)</f>
        <v>West</v>
      </c>
      <c r="N1932">
        <f>VLOOKUP(D1932, Products!$A$2:$F$61, 4, FALSE)</f>
        <v>1203</v>
      </c>
    </row>
    <row r="1933" spans="1:14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 t="str">
        <f>VLOOKUP(D1933, Products!$A$2:$F$61, 3, FALSE)</f>
        <v>Sports</v>
      </c>
      <c r="M1933" t="str">
        <f>VLOOKUP(E1929, Sales_Reps!$A$2:$E$31, 3, FALSE)</f>
        <v>North</v>
      </c>
      <c r="N1933">
        <f>VLOOKUP(D1933, Products!$A$2:$F$61, 4, FALSE)</f>
        <v>2467</v>
      </c>
    </row>
    <row r="1934" spans="1:14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 t="str">
        <f>VLOOKUP(D1934, Products!$A$2:$F$61, 3, FALSE)</f>
        <v>Sports</v>
      </c>
      <c r="M1934" t="str">
        <f>VLOOKUP(E1930, Sales_Reps!$A$2:$E$31, 3, FALSE)</f>
        <v>South</v>
      </c>
      <c r="N1934">
        <f>VLOOKUP(D1934, Products!$A$2:$F$61, 4, FALSE)</f>
        <v>516</v>
      </c>
    </row>
    <row r="1935" spans="1:14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 t="str">
        <f>VLOOKUP(D1935, Products!$A$2:$F$61, 3, FALSE)</f>
        <v>Home</v>
      </c>
      <c r="M1935" t="str">
        <f>VLOOKUP(E1931, Sales_Reps!$A$2:$E$31, 3, FALSE)</f>
        <v>South</v>
      </c>
      <c r="N1935">
        <f>VLOOKUP(D1935, Products!$A$2:$F$61, 4, FALSE)</f>
        <v>1850</v>
      </c>
    </row>
    <row r="1936" spans="1:14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 t="str">
        <f>VLOOKUP(D1936, Products!$A$2:$F$61, 3, FALSE)</f>
        <v>Home</v>
      </c>
      <c r="M1936" t="str">
        <f>VLOOKUP(E1932, Sales_Reps!$A$2:$E$31, 3, FALSE)</f>
        <v>South</v>
      </c>
      <c r="N1936">
        <f>VLOOKUP(D1936, Products!$A$2:$F$61, 4, FALSE)</f>
        <v>288</v>
      </c>
    </row>
    <row r="1937" spans="1:14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 t="str">
        <f>VLOOKUP(D1937, Products!$A$2:$F$61, 3, FALSE)</f>
        <v>Grocery</v>
      </c>
      <c r="M1937" t="str">
        <f>VLOOKUP(E1933, Sales_Reps!$A$2:$E$31, 3, FALSE)</f>
        <v>East</v>
      </c>
      <c r="N1937">
        <f>VLOOKUP(D1937, Products!$A$2:$F$61, 4, FALSE)</f>
        <v>1182</v>
      </c>
    </row>
    <row r="1938" spans="1:14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 t="str">
        <f>VLOOKUP(D1938, Products!$A$2:$F$61, 3, FALSE)</f>
        <v>Beauty</v>
      </c>
      <c r="M1938" t="str">
        <f>VLOOKUP(E1934, Sales_Reps!$A$2:$E$31, 3, FALSE)</f>
        <v>North</v>
      </c>
      <c r="N1938">
        <f>VLOOKUP(D1938, Products!$A$2:$F$61, 4, FALSE)</f>
        <v>675</v>
      </c>
    </row>
    <row r="1939" spans="1:14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 t="str">
        <f>VLOOKUP(D1939, Products!$A$2:$F$61, 3, FALSE)</f>
        <v>Sports</v>
      </c>
      <c r="M1939" t="str">
        <f>VLOOKUP(E1935, Sales_Reps!$A$2:$E$31, 3, FALSE)</f>
        <v>North</v>
      </c>
      <c r="N1939">
        <f>VLOOKUP(D1939, Products!$A$2:$F$61, 4, FALSE)</f>
        <v>705</v>
      </c>
    </row>
    <row r="1940" spans="1:14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 t="str">
        <f>VLOOKUP(D1940, Products!$A$2:$F$61, 3, FALSE)</f>
        <v>Apparel</v>
      </c>
      <c r="M1940" t="str">
        <f>VLOOKUP(E1936, Sales_Reps!$A$2:$E$31, 3, FALSE)</f>
        <v>North</v>
      </c>
      <c r="N1940">
        <f>VLOOKUP(D1940, Products!$A$2:$F$61, 4, FALSE)</f>
        <v>396</v>
      </c>
    </row>
    <row r="1941" spans="1:14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 t="str">
        <f>VLOOKUP(D1941, Products!$A$2:$F$61, 3, FALSE)</f>
        <v>Sports</v>
      </c>
      <c r="M1941" t="str">
        <f>VLOOKUP(E1937, Sales_Reps!$A$2:$E$31, 3, FALSE)</f>
        <v>West</v>
      </c>
      <c r="N1941">
        <f>VLOOKUP(D1941, Products!$A$2:$F$61, 4, FALSE)</f>
        <v>705</v>
      </c>
    </row>
    <row r="1942" spans="1:14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 t="str">
        <f>VLOOKUP(D1942, Products!$A$2:$F$61, 3, FALSE)</f>
        <v>Beauty</v>
      </c>
      <c r="M1942" t="str">
        <f>VLOOKUP(E1938, Sales_Reps!$A$2:$E$31, 3, FALSE)</f>
        <v>East</v>
      </c>
      <c r="N1942">
        <f>VLOOKUP(D1942, Products!$A$2:$F$61, 4, FALSE)</f>
        <v>2420</v>
      </c>
    </row>
    <row r="1943" spans="1:14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 t="str">
        <f>VLOOKUP(D1943, Products!$A$2:$F$61, 3, FALSE)</f>
        <v>Apparel</v>
      </c>
      <c r="M1943" t="str">
        <f>VLOOKUP(E1939, Sales_Reps!$A$2:$E$31, 3, FALSE)</f>
        <v>North</v>
      </c>
      <c r="N1943">
        <f>VLOOKUP(D1943, Products!$A$2:$F$61, 4, FALSE)</f>
        <v>1962</v>
      </c>
    </row>
    <row r="1944" spans="1:14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 t="str">
        <f>VLOOKUP(D1944, Products!$A$2:$F$61, 3, FALSE)</f>
        <v>Beauty</v>
      </c>
      <c r="M1944" t="str">
        <f>VLOOKUP(E1940, Sales_Reps!$A$2:$E$31, 3, FALSE)</f>
        <v>West</v>
      </c>
      <c r="N1944">
        <f>VLOOKUP(D1944, Products!$A$2:$F$61, 4, FALSE)</f>
        <v>2420</v>
      </c>
    </row>
    <row r="1945" spans="1:14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 t="str">
        <f>VLOOKUP(D1945, Products!$A$2:$F$61, 3, FALSE)</f>
        <v>Beauty</v>
      </c>
      <c r="M1945" t="str">
        <f>VLOOKUP(E1941, Sales_Reps!$A$2:$E$31, 3, FALSE)</f>
        <v>East</v>
      </c>
      <c r="N1945">
        <f>VLOOKUP(D1945, Products!$A$2:$F$61, 4, FALSE)</f>
        <v>1222</v>
      </c>
    </row>
    <row r="1946" spans="1:14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 t="str">
        <f>VLOOKUP(D1946, Products!$A$2:$F$61, 3, FALSE)</f>
        <v>Apparel</v>
      </c>
      <c r="M1946" t="str">
        <f>VLOOKUP(E1942, Sales_Reps!$A$2:$E$31, 3, FALSE)</f>
        <v>West</v>
      </c>
      <c r="N1946">
        <f>VLOOKUP(D1946, Products!$A$2:$F$61, 4, FALSE)</f>
        <v>2509</v>
      </c>
    </row>
    <row r="1947" spans="1:14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 t="str">
        <f>VLOOKUP(D1947, Products!$A$2:$F$61, 3, FALSE)</f>
        <v>Electronics</v>
      </c>
      <c r="M1947" t="str">
        <f>VLOOKUP(E1943, Sales_Reps!$A$2:$E$31, 3, FALSE)</f>
        <v>East</v>
      </c>
      <c r="N1947">
        <f>VLOOKUP(D1947, Products!$A$2:$F$61, 4, FALSE)</f>
        <v>128</v>
      </c>
    </row>
    <row r="1948" spans="1:14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 t="str">
        <f>VLOOKUP(D1948, Products!$A$2:$F$61, 3, FALSE)</f>
        <v>Beauty</v>
      </c>
      <c r="M1948" t="str">
        <f>VLOOKUP(E1944, Sales_Reps!$A$2:$E$31, 3, FALSE)</f>
        <v>East</v>
      </c>
      <c r="N1948">
        <f>VLOOKUP(D1948, Products!$A$2:$F$61, 4, FALSE)</f>
        <v>647</v>
      </c>
    </row>
    <row r="1949" spans="1:14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 t="str">
        <f>VLOOKUP(D1949, Products!$A$2:$F$61, 3, FALSE)</f>
        <v>Grocery</v>
      </c>
      <c r="M1949" t="str">
        <f>VLOOKUP(E1945, Sales_Reps!$A$2:$E$31, 3, FALSE)</f>
        <v>West</v>
      </c>
      <c r="N1949">
        <f>VLOOKUP(D1949, Products!$A$2:$F$61, 4, FALSE)</f>
        <v>1203</v>
      </c>
    </row>
    <row r="1950" spans="1:14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 t="str">
        <f>VLOOKUP(D1950, Products!$A$2:$F$61, 3, FALSE)</f>
        <v>Electronics</v>
      </c>
      <c r="M1950" t="str">
        <f>VLOOKUP(E1946, Sales_Reps!$A$2:$E$31, 3, FALSE)</f>
        <v>South</v>
      </c>
      <c r="N1950">
        <f>VLOOKUP(D1950, Products!$A$2:$F$61, 4, FALSE)</f>
        <v>1149</v>
      </c>
    </row>
    <row r="1951" spans="1:14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 t="str">
        <f>VLOOKUP(D1951, Products!$A$2:$F$61, 3, FALSE)</f>
        <v>Electronics</v>
      </c>
      <c r="M1951" t="str">
        <f>VLOOKUP(E1947, Sales_Reps!$A$2:$E$31, 3, FALSE)</f>
        <v>South</v>
      </c>
      <c r="N1951">
        <f>VLOOKUP(D1951, Products!$A$2:$F$61, 4, FALSE)</f>
        <v>1149</v>
      </c>
    </row>
    <row r="1952" spans="1:14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 t="str">
        <f>VLOOKUP(D1952, Products!$A$2:$F$61, 3, FALSE)</f>
        <v>Electronics</v>
      </c>
      <c r="M1952" t="str">
        <f>VLOOKUP(E1948, Sales_Reps!$A$2:$E$31, 3, FALSE)</f>
        <v>North</v>
      </c>
      <c r="N1952">
        <f>VLOOKUP(D1952, Products!$A$2:$F$61, 4, FALSE)</f>
        <v>861</v>
      </c>
    </row>
    <row r="1953" spans="1:14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 t="str">
        <f>VLOOKUP(D1953, Products!$A$2:$F$61, 3, FALSE)</f>
        <v>Electronics</v>
      </c>
      <c r="M1953" t="str">
        <f>VLOOKUP(E1949, Sales_Reps!$A$2:$E$31, 3, FALSE)</f>
        <v>East</v>
      </c>
      <c r="N1953">
        <f>VLOOKUP(D1953, Products!$A$2:$F$61, 4, FALSE)</f>
        <v>1665</v>
      </c>
    </row>
    <row r="1954" spans="1:14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 t="str">
        <f>VLOOKUP(D1954, Products!$A$2:$F$61, 3, FALSE)</f>
        <v>Electronics</v>
      </c>
      <c r="M1954" t="str">
        <f>VLOOKUP(E1950, Sales_Reps!$A$2:$E$31, 3, FALSE)</f>
        <v>North</v>
      </c>
      <c r="N1954">
        <f>VLOOKUP(D1954, Products!$A$2:$F$61, 4, FALSE)</f>
        <v>1665</v>
      </c>
    </row>
    <row r="1955" spans="1:14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 t="str">
        <f>VLOOKUP(D1955, Products!$A$2:$F$61, 3, FALSE)</f>
        <v>Electronics</v>
      </c>
      <c r="M1955" t="str">
        <f>VLOOKUP(E1951, Sales_Reps!$A$2:$E$31, 3, FALSE)</f>
        <v>South</v>
      </c>
      <c r="N1955">
        <f>VLOOKUP(D1955, Products!$A$2:$F$61, 4, FALSE)</f>
        <v>1559</v>
      </c>
    </row>
    <row r="1956" spans="1:14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 t="str">
        <f>VLOOKUP(D1956, Products!$A$2:$F$61, 3, FALSE)</f>
        <v>Sports</v>
      </c>
      <c r="M1956" t="str">
        <f>VLOOKUP(E1952, Sales_Reps!$A$2:$E$31, 3, FALSE)</f>
        <v>West</v>
      </c>
      <c r="N1956">
        <f>VLOOKUP(D1956, Products!$A$2:$F$61, 4, FALSE)</f>
        <v>2827</v>
      </c>
    </row>
    <row r="1957" spans="1:14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 t="str">
        <f>VLOOKUP(D1957, Products!$A$2:$F$61, 3, FALSE)</f>
        <v>Home</v>
      </c>
      <c r="M1957" t="str">
        <f>VLOOKUP(E1953, Sales_Reps!$A$2:$E$31, 3, FALSE)</f>
        <v>East</v>
      </c>
      <c r="N1957">
        <f>VLOOKUP(D1957, Products!$A$2:$F$61, 4, FALSE)</f>
        <v>288</v>
      </c>
    </row>
    <row r="1958" spans="1:14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 t="str">
        <f>VLOOKUP(D1958, Products!$A$2:$F$61, 3, FALSE)</f>
        <v>Apparel</v>
      </c>
      <c r="M1958" t="str">
        <f>VLOOKUP(E1954, Sales_Reps!$A$2:$E$31, 3, FALSE)</f>
        <v>West</v>
      </c>
      <c r="N1958">
        <f>VLOOKUP(D1958, Products!$A$2:$F$61, 4, FALSE)</f>
        <v>2629</v>
      </c>
    </row>
    <row r="1959" spans="1:14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 t="str">
        <f>VLOOKUP(D1959, Products!$A$2:$F$61, 3, FALSE)</f>
        <v>Electronics</v>
      </c>
      <c r="M1959" t="str">
        <f>VLOOKUP(E1955, Sales_Reps!$A$2:$E$31, 3, FALSE)</f>
        <v>West</v>
      </c>
      <c r="N1959">
        <f>VLOOKUP(D1959, Products!$A$2:$F$61, 4, FALSE)</f>
        <v>517</v>
      </c>
    </row>
    <row r="1960" spans="1:14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 t="str">
        <f>VLOOKUP(D1960, Products!$A$2:$F$61, 3, FALSE)</f>
        <v>Grocery</v>
      </c>
      <c r="M1960" t="str">
        <f>VLOOKUP(E1956, Sales_Reps!$A$2:$E$31, 3, FALSE)</f>
        <v>South</v>
      </c>
      <c r="N1960">
        <f>VLOOKUP(D1960, Products!$A$2:$F$61, 4, FALSE)</f>
        <v>2027</v>
      </c>
    </row>
    <row r="1961" spans="1:14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 t="str">
        <f>VLOOKUP(D1961, Products!$A$2:$F$61, 3, FALSE)</f>
        <v>Grocery</v>
      </c>
      <c r="M1961" t="str">
        <f>VLOOKUP(E1957, Sales_Reps!$A$2:$E$31, 3, FALSE)</f>
        <v>West</v>
      </c>
      <c r="N1961">
        <f>VLOOKUP(D1961, Products!$A$2:$F$61, 4, FALSE)</f>
        <v>2214</v>
      </c>
    </row>
    <row r="1962" spans="1:14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 t="str">
        <f>VLOOKUP(D1962, Products!$A$2:$F$61, 3, FALSE)</f>
        <v>Home</v>
      </c>
      <c r="M1962" t="str">
        <f>VLOOKUP(E1958, Sales_Reps!$A$2:$E$31, 3, FALSE)</f>
        <v>West</v>
      </c>
      <c r="N1962">
        <f>VLOOKUP(D1962, Products!$A$2:$F$61, 4, FALSE)</f>
        <v>2459</v>
      </c>
    </row>
    <row r="1963" spans="1:14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 t="str">
        <f>VLOOKUP(D1963, Products!$A$2:$F$61, 3, FALSE)</f>
        <v>Home</v>
      </c>
      <c r="M1963" t="str">
        <f>VLOOKUP(E1959, Sales_Reps!$A$2:$E$31, 3, FALSE)</f>
        <v>West</v>
      </c>
      <c r="N1963">
        <f>VLOOKUP(D1963, Products!$A$2:$F$61, 4, FALSE)</f>
        <v>1850</v>
      </c>
    </row>
    <row r="1964" spans="1:14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 t="str">
        <f>VLOOKUP(D1964, Products!$A$2:$F$61, 3, FALSE)</f>
        <v>Electronics</v>
      </c>
      <c r="M1964" t="str">
        <f>VLOOKUP(E1960, Sales_Reps!$A$2:$E$31, 3, FALSE)</f>
        <v>East</v>
      </c>
      <c r="N1964">
        <f>VLOOKUP(D1964, Products!$A$2:$F$61, 4, FALSE)</f>
        <v>1259</v>
      </c>
    </row>
    <row r="1965" spans="1:14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 t="str">
        <f>VLOOKUP(D1965, Products!$A$2:$F$61, 3, FALSE)</f>
        <v>Apparel</v>
      </c>
      <c r="M1965" t="str">
        <f>VLOOKUP(E1961, Sales_Reps!$A$2:$E$31, 3, FALSE)</f>
        <v>East</v>
      </c>
      <c r="N1965">
        <f>VLOOKUP(D1965, Products!$A$2:$F$61, 4, FALSE)</f>
        <v>1886</v>
      </c>
    </row>
    <row r="1966" spans="1:14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 t="str">
        <f>VLOOKUP(D1966, Products!$A$2:$F$61, 3, FALSE)</f>
        <v>Home</v>
      </c>
      <c r="M1966" t="str">
        <f>VLOOKUP(E1962, Sales_Reps!$A$2:$E$31, 3, FALSE)</f>
        <v>East</v>
      </c>
      <c r="N1966">
        <f>VLOOKUP(D1966, Products!$A$2:$F$61, 4, FALSE)</f>
        <v>288</v>
      </c>
    </row>
    <row r="1967" spans="1:14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 t="str">
        <f>VLOOKUP(D1967, Products!$A$2:$F$61, 3, FALSE)</f>
        <v>Sports</v>
      </c>
      <c r="M1967" t="str">
        <f>VLOOKUP(E1963, Sales_Reps!$A$2:$E$31, 3, FALSE)</f>
        <v>South</v>
      </c>
      <c r="N1967">
        <f>VLOOKUP(D1967, Products!$A$2:$F$61, 4, FALSE)</f>
        <v>516</v>
      </c>
    </row>
    <row r="1968" spans="1:14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 t="str">
        <f>VLOOKUP(D1968, Products!$A$2:$F$61, 3, FALSE)</f>
        <v>Apparel</v>
      </c>
      <c r="M1968" t="str">
        <f>VLOOKUP(E1964, Sales_Reps!$A$2:$E$31, 3, FALSE)</f>
        <v>North</v>
      </c>
      <c r="N1968">
        <f>VLOOKUP(D1968, Products!$A$2:$F$61, 4, FALSE)</f>
        <v>2629</v>
      </c>
    </row>
    <row r="1969" spans="1:14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 t="str">
        <f>VLOOKUP(D1969, Products!$A$2:$F$61, 3, FALSE)</f>
        <v>Electronics</v>
      </c>
      <c r="M1969" t="str">
        <f>VLOOKUP(E1965, Sales_Reps!$A$2:$E$31, 3, FALSE)</f>
        <v>North</v>
      </c>
      <c r="N1969">
        <f>VLOOKUP(D1969, Products!$A$2:$F$61, 4, FALSE)</f>
        <v>517</v>
      </c>
    </row>
    <row r="1970" spans="1:14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 t="str">
        <f>VLOOKUP(D1970, Products!$A$2:$F$61, 3, FALSE)</f>
        <v>Sports</v>
      </c>
      <c r="M1970" t="str">
        <f>VLOOKUP(E1966, Sales_Reps!$A$2:$E$31, 3, FALSE)</f>
        <v>North</v>
      </c>
      <c r="N1970">
        <f>VLOOKUP(D1970, Products!$A$2:$F$61, 4, FALSE)</f>
        <v>147</v>
      </c>
    </row>
    <row r="1971" spans="1:14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 t="str">
        <f>VLOOKUP(D1971, Products!$A$2:$F$61, 3, FALSE)</f>
        <v>Sports</v>
      </c>
      <c r="M1971" t="str">
        <f>VLOOKUP(E1967, Sales_Reps!$A$2:$E$31, 3, FALSE)</f>
        <v>North</v>
      </c>
      <c r="N1971">
        <f>VLOOKUP(D1971, Products!$A$2:$F$61, 4, FALSE)</f>
        <v>516</v>
      </c>
    </row>
    <row r="1972" spans="1:14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 t="str">
        <f>VLOOKUP(D1972, Products!$A$2:$F$61, 3, FALSE)</f>
        <v>Electronics</v>
      </c>
      <c r="M1972" t="str">
        <f>VLOOKUP(E1968, Sales_Reps!$A$2:$E$31, 3, FALSE)</f>
        <v>West</v>
      </c>
      <c r="N1972">
        <f>VLOOKUP(D1972, Products!$A$2:$F$61, 4, FALSE)</f>
        <v>1052</v>
      </c>
    </row>
    <row r="1973" spans="1:14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 t="str">
        <f>VLOOKUP(D1973, Products!$A$2:$F$61, 3, FALSE)</f>
        <v>Apparel</v>
      </c>
      <c r="M1973" t="str">
        <f>VLOOKUP(E1969, Sales_Reps!$A$2:$E$31, 3, FALSE)</f>
        <v>West</v>
      </c>
      <c r="N1973">
        <f>VLOOKUP(D1973, Products!$A$2:$F$61, 4, FALSE)</f>
        <v>1748</v>
      </c>
    </row>
    <row r="1974" spans="1:14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 t="str">
        <f>VLOOKUP(D1974, Products!$A$2:$F$61, 3, FALSE)</f>
        <v>Apparel</v>
      </c>
      <c r="M1974" t="str">
        <f>VLOOKUP(E1970, Sales_Reps!$A$2:$E$31, 3, FALSE)</f>
        <v>North</v>
      </c>
      <c r="N1974">
        <f>VLOOKUP(D1974, Products!$A$2:$F$61, 4, FALSE)</f>
        <v>1075</v>
      </c>
    </row>
    <row r="1975" spans="1:14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 t="str">
        <f>VLOOKUP(D1975, Products!$A$2:$F$61, 3, FALSE)</f>
        <v>Sports</v>
      </c>
      <c r="M1975" t="str">
        <f>VLOOKUP(E1971, Sales_Reps!$A$2:$E$31, 3, FALSE)</f>
        <v>North</v>
      </c>
      <c r="N1975">
        <f>VLOOKUP(D1975, Products!$A$2:$F$61, 4, FALSE)</f>
        <v>147</v>
      </c>
    </row>
    <row r="1976" spans="1:14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 t="str">
        <f>VLOOKUP(D1976, Products!$A$2:$F$61, 3, FALSE)</f>
        <v>Beauty</v>
      </c>
      <c r="M1976" t="str">
        <f>VLOOKUP(E1972, Sales_Reps!$A$2:$E$31, 3, FALSE)</f>
        <v>South</v>
      </c>
      <c r="N1976">
        <f>VLOOKUP(D1976, Products!$A$2:$F$61, 4, FALSE)</f>
        <v>1222</v>
      </c>
    </row>
    <row r="1977" spans="1:14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 t="str">
        <f>VLOOKUP(D1977, Products!$A$2:$F$61, 3, FALSE)</f>
        <v>Sports</v>
      </c>
      <c r="M1977" t="str">
        <f>VLOOKUP(E1973, Sales_Reps!$A$2:$E$31, 3, FALSE)</f>
        <v>West</v>
      </c>
      <c r="N1977">
        <f>VLOOKUP(D1977, Products!$A$2:$F$61, 4, FALSE)</f>
        <v>2028</v>
      </c>
    </row>
    <row r="1978" spans="1:14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 t="str">
        <f>VLOOKUP(D1978, Products!$A$2:$F$61, 3, FALSE)</f>
        <v>Sports</v>
      </c>
      <c r="M1978" t="str">
        <f>VLOOKUP(E1974, Sales_Reps!$A$2:$E$31, 3, FALSE)</f>
        <v>East</v>
      </c>
      <c r="N1978">
        <f>VLOOKUP(D1978, Products!$A$2:$F$61, 4, FALSE)</f>
        <v>302</v>
      </c>
    </row>
    <row r="1979" spans="1:14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 t="str">
        <f>VLOOKUP(D1979, Products!$A$2:$F$61, 3, FALSE)</f>
        <v>Sports</v>
      </c>
      <c r="M1979" t="str">
        <f>VLOOKUP(E1975, Sales_Reps!$A$2:$E$31, 3, FALSE)</f>
        <v>West</v>
      </c>
      <c r="N1979">
        <f>VLOOKUP(D1979, Products!$A$2:$F$61, 4, FALSE)</f>
        <v>2028</v>
      </c>
    </row>
    <row r="1980" spans="1:14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 t="str">
        <f>VLOOKUP(D1980, Products!$A$2:$F$61, 3, FALSE)</f>
        <v>Apparel</v>
      </c>
      <c r="M1980" t="str">
        <f>VLOOKUP(E1976, Sales_Reps!$A$2:$E$31, 3, FALSE)</f>
        <v>West</v>
      </c>
      <c r="N1980">
        <f>VLOOKUP(D1980, Products!$A$2:$F$61, 4, FALSE)</f>
        <v>1173</v>
      </c>
    </row>
    <row r="1981" spans="1:14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 t="str">
        <f>VLOOKUP(D1981, Products!$A$2:$F$61, 3, FALSE)</f>
        <v>Home</v>
      </c>
      <c r="M1981" t="str">
        <f>VLOOKUP(E1977, Sales_Reps!$A$2:$E$31, 3, FALSE)</f>
        <v>South</v>
      </c>
      <c r="N1981">
        <f>VLOOKUP(D1981, Products!$A$2:$F$61, 4, FALSE)</f>
        <v>1143</v>
      </c>
    </row>
    <row r="1982" spans="1:14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 t="str">
        <f>VLOOKUP(D1982, Products!$A$2:$F$61, 3, FALSE)</f>
        <v>Beauty</v>
      </c>
      <c r="M1982" t="str">
        <f>VLOOKUP(E1978, Sales_Reps!$A$2:$E$31, 3, FALSE)</f>
        <v>West</v>
      </c>
      <c r="N1982">
        <f>VLOOKUP(D1982, Products!$A$2:$F$61, 4, FALSE)</f>
        <v>2420</v>
      </c>
    </row>
    <row r="1983" spans="1:14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 t="str">
        <f>VLOOKUP(D1983, Products!$A$2:$F$61, 3, FALSE)</f>
        <v>Electronics</v>
      </c>
      <c r="M1983" t="str">
        <f>VLOOKUP(E1979, Sales_Reps!$A$2:$E$31, 3, FALSE)</f>
        <v>West</v>
      </c>
      <c r="N1983">
        <f>VLOOKUP(D1983, Products!$A$2:$F$61, 4, FALSE)</f>
        <v>861</v>
      </c>
    </row>
    <row r="1984" spans="1:14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 t="str">
        <f>VLOOKUP(D1984, Products!$A$2:$F$61, 3, FALSE)</f>
        <v>Apparel</v>
      </c>
      <c r="M1984" t="str">
        <f>VLOOKUP(E1980, Sales_Reps!$A$2:$E$31, 3, FALSE)</f>
        <v>East</v>
      </c>
      <c r="N1984">
        <f>VLOOKUP(D1984, Products!$A$2:$F$61, 4, FALSE)</f>
        <v>391</v>
      </c>
    </row>
    <row r="1985" spans="1:14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 t="str">
        <f>VLOOKUP(D1985, Products!$A$2:$F$61, 3, FALSE)</f>
        <v>Beauty</v>
      </c>
      <c r="M1985" t="str">
        <f>VLOOKUP(E1981, Sales_Reps!$A$2:$E$31, 3, FALSE)</f>
        <v>North</v>
      </c>
      <c r="N1985">
        <f>VLOOKUP(D1985, Products!$A$2:$F$61, 4, FALSE)</f>
        <v>2768</v>
      </c>
    </row>
    <row r="1986" spans="1:14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 t="str">
        <f>VLOOKUP(D1986, Products!$A$2:$F$61, 3, FALSE)</f>
        <v>Beauty</v>
      </c>
      <c r="M1986" t="str">
        <f>VLOOKUP(E1982, Sales_Reps!$A$2:$E$31, 3, FALSE)</f>
        <v>South</v>
      </c>
      <c r="N1986">
        <f>VLOOKUP(D1986, Products!$A$2:$F$61, 4, FALSE)</f>
        <v>1728</v>
      </c>
    </row>
    <row r="1987" spans="1:14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 t="str">
        <f>VLOOKUP(D1987, Products!$A$2:$F$61, 3, FALSE)</f>
        <v>Apparel</v>
      </c>
      <c r="M1987" t="str">
        <f>VLOOKUP(E1983, Sales_Reps!$A$2:$E$31, 3, FALSE)</f>
        <v>South</v>
      </c>
      <c r="N1987">
        <f>VLOOKUP(D1987, Products!$A$2:$F$61, 4, FALSE)</f>
        <v>1173</v>
      </c>
    </row>
    <row r="1988" spans="1:14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 t="str">
        <f>VLOOKUP(D1988, Products!$A$2:$F$61, 3, FALSE)</f>
        <v>Home</v>
      </c>
      <c r="M1988" t="str">
        <f>VLOOKUP(E1984, Sales_Reps!$A$2:$E$31, 3, FALSE)</f>
        <v>East</v>
      </c>
      <c r="N1988">
        <f>VLOOKUP(D1988, Products!$A$2:$F$61, 4, FALSE)</f>
        <v>1850</v>
      </c>
    </row>
    <row r="1989" spans="1:14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 t="str">
        <f>VLOOKUP(D1989, Products!$A$2:$F$61, 3, FALSE)</f>
        <v>Grocery</v>
      </c>
      <c r="M1989" t="str">
        <f>VLOOKUP(E1985, Sales_Reps!$A$2:$E$31, 3, FALSE)</f>
        <v>East</v>
      </c>
      <c r="N1989">
        <f>VLOOKUP(D1989, Products!$A$2:$F$61, 4, FALSE)</f>
        <v>2436</v>
      </c>
    </row>
    <row r="1990" spans="1:14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 t="str">
        <f>VLOOKUP(D1990, Products!$A$2:$F$61, 3, FALSE)</f>
        <v>Beauty</v>
      </c>
      <c r="M1990" t="str">
        <f>VLOOKUP(E1986, Sales_Reps!$A$2:$E$31, 3, FALSE)</f>
        <v>South</v>
      </c>
      <c r="N1990">
        <f>VLOOKUP(D1990, Products!$A$2:$F$61, 4, FALSE)</f>
        <v>1626</v>
      </c>
    </row>
    <row r="1991" spans="1:14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 t="str">
        <f>VLOOKUP(D1991, Products!$A$2:$F$61, 3, FALSE)</f>
        <v>Home</v>
      </c>
      <c r="M1991" t="str">
        <f>VLOOKUP(E1987, Sales_Reps!$A$2:$E$31, 3, FALSE)</f>
        <v>East</v>
      </c>
      <c r="N1991">
        <f>VLOOKUP(D1991, Products!$A$2:$F$61, 4, FALSE)</f>
        <v>464</v>
      </c>
    </row>
    <row r="1992" spans="1:14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 t="str">
        <f>VLOOKUP(D1992, Products!$A$2:$F$61, 3, FALSE)</f>
        <v>Beauty</v>
      </c>
      <c r="M1992" t="str">
        <f>VLOOKUP(E1988, Sales_Reps!$A$2:$E$31, 3, FALSE)</f>
        <v>West</v>
      </c>
      <c r="N1992">
        <f>VLOOKUP(D1992, Products!$A$2:$F$61, 4, FALSE)</f>
        <v>2237</v>
      </c>
    </row>
    <row r="1993" spans="1:14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 t="str">
        <f>VLOOKUP(D1993, Products!$A$2:$F$61, 3, FALSE)</f>
        <v>Beauty</v>
      </c>
      <c r="M1993" t="str">
        <f>VLOOKUP(E1989, Sales_Reps!$A$2:$E$31, 3, FALSE)</f>
        <v>North</v>
      </c>
      <c r="N1993">
        <f>VLOOKUP(D1993, Products!$A$2:$F$61, 4, FALSE)</f>
        <v>2768</v>
      </c>
    </row>
    <row r="1994" spans="1:14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 t="str">
        <f>VLOOKUP(D1994, Products!$A$2:$F$61, 3, FALSE)</f>
        <v>Electronics</v>
      </c>
      <c r="M1994" t="str">
        <f>VLOOKUP(E1990, Sales_Reps!$A$2:$E$31, 3, FALSE)</f>
        <v>West</v>
      </c>
      <c r="N1994">
        <f>VLOOKUP(D1994, Products!$A$2:$F$61, 4, FALSE)</f>
        <v>2405</v>
      </c>
    </row>
    <row r="1995" spans="1:14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 t="str">
        <f>VLOOKUP(D1995, Products!$A$2:$F$61, 3, FALSE)</f>
        <v>Home</v>
      </c>
      <c r="M1995" t="str">
        <f>VLOOKUP(E1991, Sales_Reps!$A$2:$E$31, 3, FALSE)</f>
        <v>North</v>
      </c>
      <c r="N1995">
        <f>VLOOKUP(D1995, Products!$A$2:$F$61, 4, FALSE)</f>
        <v>1143</v>
      </c>
    </row>
    <row r="1996" spans="1:14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 t="str">
        <f>VLOOKUP(D1996, Products!$A$2:$F$61, 3, FALSE)</f>
        <v>Beauty</v>
      </c>
      <c r="M1996" t="str">
        <f>VLOOKUP(E1992, Sales_Reps!$A$2:$E$31, 3, FALSE)</f>
        <v>South</v>
      </c>
      <c r="N1996">
        <f>VLOOKUP(D1996, Products!$A$2:$F$61, 4, FALSE)</f>
        <v>1728</v>
      </c>
    </row>
    <row r="1997" spans="1:14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 t="str">
        <f>VLOOKUP(D1997, Products!$A$2:$F$61, 3, FALSE)</f>
        <v>Home</v>
      </c>
      <c r="M1997" t="str">
        <f>VLOOKUP(E1993, Sales_Reps!$A$2:$E$31, 3, FALSE)</f>
        <v>North</v>
      </c>
      <c r="N1997">
        <f>VLOOKUP(D1997, Products!$A$2:$F$61, 4, FALSE)</f>
        <v>2135</v>
      </c>
    </row>
    <row r="1998" spans="1:14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 t="str">
        <f>VLOOKUP(D1998, Products!$A$2:$F$61, 3, FALSE)</f>
        <v>Electronics</v>
      </c>
      <c r="M1998" t="str">
        <f>VLOOKUP(E1994, Sales_Reps!$A$2:$E$31, 3, FALSE)</f>
        <v>West</v>
      </c>
      <c r="N1998">
        <f>VLOOKUP(D1998, Products!$A$2:$F$61, 4, FALSE)</f>
        <v>2865</v>
      </c>
    </row>
    <row r="1999" spans="1:14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 t="str">
        <f>VLOOKUP(D1999, Products!$A$2:$F$61, 3, FALSE)</f>
        <v>Grocery</v>
      </c>
      <c r="M1999" t="str">
        <f>VLOOKUP(E1995, Sales_Reps!$A$2:$E$31, 3, FALSE)</f>
        <v>West</v>
      </c>
      <c r="N1999">
        <f>VLOOKUP(D1999, Products!$A$2:$F$61, 4, FALSE)</f>
        <v>1010</v>
      </c>
    </row>
    <row r="2000" spans="1:14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 t="str">
        <f>VLOOKUP(D2000, Products!$A$2:$F$61, 3, FALSE)</f>
        <v>Sports</v>
      </c>
      <c r="M2000" t="str">
        <f>VLOOKUP(E1996, Sales_Reps!$A$2:$E$31, 3, FALSE)</f>
        <v>West</v>
      </c>
      <c r="N2000">
        <f>VLOOKUP(D2000, Products!$A$2:$F$61, 4, FALSE)</f>
        <v>2265</v>
      </c>
    </row>
    <row r="2001" spans="1:14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 t="str">
        <f>VLOOKUP(D2001, Products!$A$2:$F$61, 3, FALSE)</f>
        <v>Home</v>
      </c>
      <c r="M2001" t="str">
        <f>VLOOKUP(E1997, Sales_Reps!$A$2:$E$31, 3, FALSE)</f>
        <v>South</v>
      </c>
      <c r="N2001">
        <f>VLOOKUP(D2001, Products!$A$2:$F$61, 4, FALSE)</f>
        <v>2459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G61"/>
  <sheetViews>
    <sheetView workbookViewId="0">
      <pane ySplit="1" topLeftCell="A47" activePane="bottomLeft" state="frozen"/>
      <selection pane="bottomLeft" activeCell="G3" sqref="G3:G61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7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  <c r="G1" s="51" t="s">
        <v>3027</v>
      </c>
    </row>
    <row r="2" spans="1:7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  <c r="G2">
        <f>SUMPRODUCT(Orders!$I$2:$I$2001 * (Orders!$D$2:$D$2001=A2) * (LOOKUP(Orders!$E$2:$E$2001, Sales_Reps!$A$2:$A$31, Sales_Reps!$C$2:$C$31)="West"))</f>
        <v>155358.84</v>
      </c>
    </row>
    <row r="3" spans="1:7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  <c r="G3">
        <f>SUMPRODUCT(Orders!$I$2:$I$2001 * (Orders!$D$2:$D$2001=A3) * (LOOKUP(Orders!$E$2:$E$2001, Sales_Reps!$A$2:$A$31, Sales_Reps!$C$2:$C$31)="West"))</f>
        <v>105284.40000000001</v>
      </c>
    </row>
    <row r="4" spans="1:7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  <c r="G4">
        <f>SUMPRODUCT(Orders!$I$2:$I$2001 * (Orders!$D$2:$D$2001=A4) * (LOOKUP(Orders!$E$2:$E$2001, Sales_Reps!$A$2:$A$31, Sales_Reps!$C$2:$C$31)="West"))</f>
        <v>248025.75</v>
      </c>
    </row>
    <row r="5" spans="1:7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  <c r="G5">
        <f>SUMPRODUCT(Orders!$I$2:$I$2001 * (Orders!$D$2:$D$2001=A5) * (LOOKUP(Orders!$E$2:$E$2001, Sales_Reps!$A$2:$A$31, Sales_Reps!$C$2:$C$31)="West"))</f>
        <v>198124.65</v>
      </c>
    </row>
    <row r="6" spans="1:7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  <c r="G6">
        <f>SUMPRODUCT(Orders!$I$2:$I$2001 * (Orders!$D$2:$D$2001=A6) * (LOOKUP(Orders!$E$2:$E$2001, Sales_Reps!$A$2:$A$31, Sales_Reps!$C$2:$C$31)="West"))</f>
        <v>7449.9000000000005</v>
      </c>
    </row>
    <row r="7" spans="1:7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  <c r="G7">
        <f>SUMPRODUCT(Orders!$I$2:$I$2001 * (Orders!$D$2:$D$2001=A7) * (LOOKUP(Orders!$E$2:$E$2001, Sales_Reps!$A$2:$A$31, Sales_Reps!$C$2:$C$31)="West"))</f>
        <v>100869.76000000001</v>
      </c>
    </row>
    <row r="8" spans="1:7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  <c r="G8">
        <f>SUMPRODUCT(Orders!$I$2:$I$2001 * (Orders!$D$2:$D$2001=A8) * (LOOKUP(Orders!$E$2:$E$2001, Sales_Reps!$A$2:$A$31, Sales_Reps!$C$2:$C$31)="West"))</f>
        <v>38531.35</v>
      </c>
    </row>
    <row r="9" spans="1:7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  <c r="G9">
        <f>SUMPRODUCT(Orders!$I$2:$I$2001 * (Orders!$D$2:$D$2001=A9) * (LOOKUP(Orders!$E$2:$E$2001, Sales_Reps!$A$2:$A$31, Sales_Reps!$C$2:$C$31)="West"))</f>
        <v>7807.1</v>
      </c>
    </row>
    <row r="10" spans="1:7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  <c r="G10">
        <f>SUMPRODUCT(Orders!$I$2:$I$2001 * (Orders!$D$2:$D$2001=A10) * (LOOKUP(Orders!$E$2:$E$2001, Sales_Reps!$A$2:$A$31, Sales_Reps!$C$2:$C$31)="West"))</f>
        <v>64207.380000000005</v>
      </c>
    </row>
    <row r="11" spans="1:7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  <c r="G11">
        <f>SUMPRODUCT(Orders!$I$2:$I$2001 * (Orders!$D$2:$D$2001=A11) * (LOOKUP(Orders!$E$2:$E$2001, Sales_Reps!$A$2:$A$31, Sales_Reps!$C$2:$C$31)="West"))</f>
        <v>67393.919999999998</v>
      </c>
    </row>
    <row r="12" spans="1:7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  <c r="G12">
        <f>SUMPRODUCT(Orders!$I$2:$I$2001 * (Orders!$D$2:$D$2001=A12) * (LOOKUP(Orders!$E$2:$E$2001, Sales_Reps!$A$2:$A$31, Sales_Reps!$C$2:$C$31)="West"))</f>
        <v>145224.29999999999</v>
      </c>
    </row>
    <row r="13" spans="1:7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  <c r="G13">
        <f>SUMPRODUCT(Orders!$I$2:$I$2001 * (Orders!$D$2:$D$2001=A13) * (LOOKUP(Orders!$E$2:$E$2001, Sales_Reps!$A$2:$A$31, Sales_Reps!$C$2:$C$31)="West"))</f>
        <v>121770.59999999999</v>
      </c>
    </row>
    <row r="14" spans="1:7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  <c r="G14">
        <f>SUMPRODUCT(Orders!$I$2:$I$2001 * (Orders!$D$2:$D$2001=A14) * (LOOKUP(Orders!$E$2:$E$2001, Sales_Reps!$A$2:$A$31, Sales_Reps!$C$2:$C$31)="West"))</f>
        <v>85543.640000000014</v>
      </c>
    </row>
    <row r="15" spans="1:7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  <c r="G15">
        <f>SUMPRODUCT(Orders!$I$2:$I$2001 * (Orders!$D$2:$D$2001=A15) * (LOOKUP(Orders!$E$2:$E$2001, Sales_Reps!$A$2:$A$31, Sales_Reps!$C$2:$C$31)="West"))</f>
        <v>95390.62</v>
      </c>
    </row>
    <row r="16" spans="1:7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  <c r="G16">
        <f>SUMPRODUCT(Orders!$I$2:$I$2001 * (Orders!$D$2:$D$2001=A16) * (LOOKUP(Orders!$E$2:$E$2001, Sales_Reps!$A$2:$A$31, Sales_Reps!$C$2:$C$31)="West"))</f>
        <v>108190.72</v>
      </c>
    </row>
    <row r="17" spans="1:7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  <c r="G17">
        <f>SUMPRODUCT(Orders!$I$2:$I$2001 * (Orders!$D$2:$D$2001=A17) * (LOOKUP(Orders!$E$2:$E$2001, Sales_Reps!$A$2:$A$31, Sales_Reps!$C$2:$C$31)="West"))</f>
        <v>12964.820000000002</v>
      </c>
    </row>
    <row r="18" spans="1:7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  <c r="G18">
        <f>SUMPRODUCT(Orders!$I$2:$I$2001 * (Orders!$D$2:$D$2001=A18) * (LOOKUP(Orders!$E$2:$E$2001, Sales_Reps!$A$2:$A$31, Sales_Reps!$C$2:$C$31)="West"))</f>
        <v>84699.95</v>
      </c>
    </row>
    <row r="19" spans="1:7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  <c r="G19">
        <f>SUMPRODUCT(Orders!$I$2:$I$2001 * (Orders!$D$2:$D$2001=A19) * (LOOKUP(Orders!$E$2:$E$2001, Sales_Reps!$A$2:$A$31, Sales_Reps!$C$2:$C$31)="West"))</f>
        <v>100288.76000000001</v>
      </c>
    </row>
    <row r="20" spans="1:7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  <c r="G20">
        <f>SUMPRODUCT(Orders!$I$2:$I$2001 * (Orders!$D$2:$D$2001=A20) * (LOOKUP(Orders!$E$2:$E$2001, Sales_Reps!$A$2:$A$31, Sales_Reps!$C$2:$C$31)="West"))</f>
        <v>104993.28</v>
      </c>
    </row>
    <row r="21" spans="1:7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  <c r="G21">
        <f>SUMPRODUCT(Orders!$I$2:$I$2001 * (Orders!$D$2:$D$2001=A21) * (LOOKUP(Orders!$E$2:$E$2001, Sales_Reps!$A$2:$A$31, Sales_Reps!$C$2:$C$31)="West"))</f>
        <v>9173.34</v>
      </c>
    </row>
    <row r="22" spans="1:7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  <c r="G22">
        <f>SUMPRODUCT(Orders!$I$2:$I$2001 * (Orders!$D$2:$D$2001=A22) * (LOOKUP(Orders!$E$2:$E$2001, Sales_Reps!$A$2:$A$31, Sales_Reps!$C$2:$C$31)="West"))</f>
        <v>90555.6</v>
      </c>
    </row>
    <row r="23" spans="1:7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  <c r="G23">
        <f>SUMPRODUCT(Orders!$I$2:$I$2001 * (Orders!$D$2:$D$2001=A23) * (LOOKUP(Orders!$E$2:$E$2001, Sales_Reps!$A$2:$A$31, Sales_Reps!$C$2:$C$31)="West"))</f>
        <v>66299.89</v>
      </c>
    </row>
    <row r="24" spans="1:7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  <c r="G24">
        <f>SUMPRODUCT(Orders!$I$2:$I$2001 * (Orders!$D$2:$D$2001=A24) * (LOOKUP(Orders!$E$2:$E$2001, Sales_Reps!$A$2:$A$31, Sales_Reps!$C$2:$C$31)="West"))</f>
        <v>84480.48000000001</v>
      </c>
    </row>
    <row r="25" spans="1:7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  <c r="G25">
        <f>SUMPRODUCT(Orders!$I$2:$I$2001 * (Orders!$D$2:$D$2001=A25) * (LOOKUP(Orders!$E$2:$E$2001, Sales_Reps!$A$2:$A$31, Sales_Reps!$C$2:$C$31)="West"))</f>
        <v>77055.150000000009</v>
      </c>
    </row>
    <row r="26" spans="1:7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  <c r="G26">
        <f>SUMPRODUCT(Orders!$I$2:$I$2001 * (Orders!$D$2:$D$2001=A26) * (LOOKUP(Orders!$E$2:$E$2001, Sales_Reps!$A$2:$A$31, Sales_Reps!$C$2:$C$31)="West"))</f>
        <v>190994.58000000002</v>
      </c>
    </row>
    <row r="27" spans="1:7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  <c r="G27">
        <f>SUMPRODUCT(Orders!$I$2:$I$2001 * (Orders!$D$2:$D$2001=A27) * (LOOKUP(Orders!$E$2:$E$2001, Sales_Reps!$A$2:$A$31, Sales_Reps!$C$2:$C$31)="West"))</f>
        <v>179739.34</v>
      </c>
    </row>
    <row r="28" spans="1:7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  <c r="G28">
        <f>SUMPRODUCT(Orders!$I$2:$I$2001 * (Orders!$D$2:$D$2001=A28) * (LOOKUP(Orders!$E$2:$E$2001, Sales_Reps!$A$2:$A$31, Sales_Reps!$C$2:$C$31)="West"))</f>
        <v>39599.279999999999</v>
      </c>
    </row>
    <row r="29" spans="1:7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  <c r="G29">
        <f>SUMPRODUCT(Orders!$I$2:$I$2001 * (Orders!$D$2:$D$2001=A29) * (LOOKUP(Orders!$E$2:$E$2001, Sales_Reps!$A$2:$A$31, Sales_Reps!$C$2:$C$31)="West"))</f>
        <v>112574.28</v>
      </c>
    </row>
    <row r="30" spans="1:7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  <c r="G30">
        <f>SUMPRODUCT(Orders!$I$2:$I$2001 * (Orders!$D$2:$D$2001=A30) * (LOOKUP(Orders!$E$2:$E$2001, Sales_Reps!$A$2:$A$31, Sales_Reps!$C$2:$C$31)="West"))</f>
        <v>118562.08</v>
      </c>
    </row>
    <row r="31" spans="1:7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  <c r="G31">
        <f>SUMPRODUCT(Orders!$I$2:$I$2001 * (Orders!$D$2:$D$2001=A31) * (LOOKUP(Orders!$E$2:$E$2001, Sales_Reps!$A$2:$A$31, Sales_Reps!$C$2:$C$31)="West"))</f>
        <v>37405.14</v>
      </c>
    </row>
    <row r="32" spans="1:7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  <c r="G32">
        <f>SUMPRODUCT(Orders!$I$2:$I$2001 * (Orders!$D$2:$D$2001=A32) * (LOOKUP(Orders!$E$2:$E$2001, Sales_Reps!$A$2:$A$31, Sales_Reps!$C$2:$C$31)="West"))</f>
        <v>102321.36</v>
      </c>
    </row>
    <row r="33" spans="1:7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  <c r="G33">
        <f>SUMPRODUCT(Orders!$I$2:$I$2001 * (Orders!$D$2:$D$2001=A33) * (LOOKUP(Orders!$E$2:$E$2001, Sales_Reps!$A$2:$A$31, Sales_Reps!$C$2:$C$31)="West"))</f>
        <v>20402.170000000002</v>
      </c>
    </row>
    <row r="34" spans="1:7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  <c r="G34">
        <f>SUMPRODUCT(Orders!$I$2:$I$2001 * (Orders!$D$2:$D$2001=A34) * (LOOKUP(Orders!$E$2:$E$2001, Sales_Reps!$A$2:$A$31, Sales_Reps!$C$2:$C$31)="West"))</f>
        <v>137585.28</v>
      </c>
    </row>
    <row r="35" spans="1:7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  <c r="G35">
        <f>SUMPRODUCT(Orders!$I$2:$I$2001 * (Orders!$D$2:$D$2001=A35) * (LOOKUP(Orders!$E$2:$E$2001, Sales_Reps!$A$2:$A$31, Sales_Reps!$C$2:$C$31)="West"))</f>
        <v>221112.07999999996</v>
      </c>
    </row>
    <row r="36" spans="1:7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  <c r="G36">
        <f>SUMPRODUCT(Orders!$I$2:$I$2001 * (Orders!$D$2:$D$2001=A36) * (LOOKUP(Orders!$E$2:$E$2001, Sales_Reps!$A$2:$A$31, Sales_Reps!$C$2:$C$31)="West"))</f>
        <v>26929.54</v>
      </c>
    </row>
    <row r="37" spans="1:7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  <c r="G37">
        <f>SUMPRODUCT(Orders!$I$2:$I$2001 * (Orders!$D$2:$D$2001=A37) * (LOOKUP(Orders!$E$2:$E$2001, Sales_Reps!$A$2:$A$31, Sales_Reps!$C$2:$C$31)="West"))</f>
        <v>88426</v>
      </c>
    </row>
    <row r="38" spans="1:7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  <c r="G38">
        <f>SUMPRODUCT(Orders!$I$2:$I$2001 * (Orders!$D$2:$D$2001=A38) * (LOOKUP(Orders!$E$2:$E$2001, Sales_Reps!$A$2:$A$31, Sales_Reps!$C$2:$C$31)="West"))</f>
        <v>13841.52</v>
      </c>
    </row>
    <row r="39" spans="1:7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  <c r="G39">
        <f>SUMPRODUCT(Orders!$I$2:$I$2001 * (Orders!$D$2:$D$2001=A39) * (LOOKUP(Orders!$E$2:$E$2001, Sales_Reps!$A$2:$A$31, Sales_Reps!$C$2:$C$31)="West"))</f>
        <v>119445.93</v>
      </c>
    </row>
    <row r="40" spans="1:7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  <c r="G40">
        <f>SUMPRODUCT(Orders!$I$2:$I$2001 * (Orders!$D$2:$D$2001=A40) * (LOOKUP(Orders!$E$2:$E$2001, Sales_Reps!$A$2:$A$31, Sales_Reps!$C$2:$C$31)="West"))</f>
        <v>177512.66</v>
      </c>
    </row>
    <row r="41" spans="1:7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  <c r="G41">
        <f>SUMPRODUCT(Orders!$I$2:$I$2001 * (Orders!$D$2:$D$2001=A41) * (LOOKUP(Orders!$E$2:$E$2001, Sales_Reps!$A$2:$A$31, Sales_Reps!$C$2:$C$31)="West"))</f>
        <v>47831.039999999994</v>
      </c>
    </row>
    <row r="42" spans="1:7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  <c r="G42">
        <f>SUMPRODUCT(Orders!$I$2:$I$2001 * (Orders!$D$2:$D$2001=A42) * (LOOKUP(Orders!$E$2:$E$2001, Sales_Reps!$A$2:$A$31, Sales_Reps!$C$2:$C$31)="West"))</f>
        <v>80488.099999999991</v>
      </c>
    </row>
    <row r="43" spans="1:7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  <c r="G43">
        <f>SUMPRODUCT(Orders!$I$2:$I$2001 * (Orders!$D$2:$D$2001=A43) * (LOOKUP(Orders!$E$2:$E$2001, Sales_Reps!$A$2:$A$31, Sales_Reps!$C$2:$C$31)="West"))</f>
        <v>138799.19000000003</v>
      </c>
    </row>
    <row r="44" spans="1:7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  <c r="G44">
        <f>SUMPRODUCT(Orders!$I$2:$I$2001 * (Orders!$D$2:$D$2001=A44) * (LOOKUP(Orders!$E$2:$E$2001, Sales_Reps!$A$2:$A$31, Sales_Reps!$C$2:$C$31)="West"))</f>
        <v>104386</v>
      </c>
    </row>
    <row r="45" spans="1:7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  <c r="G45">
        <f>SUMPRODUCT(Orders!$I$2:$I$2001 * (Orders!$D$2:$D$2001=A45) * (LOOKUP(Orders!$E$2:$E$2001, Sales_Reps!$A$2:$A$31, Sales_Reps!$C$2:$C$31)="West"))</f>
        <v>68328.149999999994</v>
      </c>
    </row>
    <row r="46" spans="1:7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  <c r="G46">
        <f>SUMPRODUCT(Orders!$I$2:$I$2001 * (Orders!$D$2:$D$2001=A46) * (LOOKUP(Orders!$E$2:$E$2001, Sales_Reps!$A$2:$A$31, Sales_Reps!$C$2:$C$31)="West"))</f>
        <v>102894.42000000001</v>
      </c>
    </row>
    <row r="47" spans="1:7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  <c r="G47">
        <f>SUMPRODUCT(Orders!$I$2:$I$2001 * (Orders!$D$2:$D$2001=A47) * (LOOKUP(Orders!$E$2:$E$2001, Sales_Reps!$A$2:$A$31, Sales_Reps!$C$2:$C$31)="West"))</f>
        <v>100035.12</v>
      </c>
    </row>
    <row r="48" spans="1:7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  <c r="G48">
        <f>SUMPRODUCT(Orders!$I$2:$I$2001 * (Orders!$D$2:$D$2001=A48) * (LOOKUP(Orders!$E$2:$E$2001, Sales_Reps!$A$2:$A$31, Sales_Reps!$C$2:$C$31)="West"))</f>
        <v>167780.4</v>
      </c>
    </row>
    <row r="49" spans="1:7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  <c r="G49">
        <f>SUMPRODUCT(Orders!$I$2:$I$2001 * (Orders!$D$2:$D$2001=A49) * (LOOKUP(Orders!$E$2:$E$2001, Sales_Reps!$A$2:$A$31, Sales_Reps!$C$2:$C$31)="West"))</f>
        <v>244351.19999999998</v>
      </c>
    </row>
    <row r="50" spans="1:7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  <c r="G50">
        <f>SUMPRODUCT(Orders!$I$2:$I$2001 * (Orders!$D$2:$D$2001=A50) * (LOOKUP(Orders!$E$2:$E$2001, Sales_Reps!$A$2:$A$31, Sales_Reps!$C$2:$C$31)="West"))</f>
        <v>56751.360000000008</v>
      </c>
    </row>
    <row r="51" spans="1:7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  <c r="G51">
        <f>SUMPRODUCT(Orders!$I$2:$I$2001 * (Orders!$D$2:$D$2001=A51) * (LOOKUP(Orders!$E$2:$E$2001, Sales_Reps!$A$2:$A$31, Sales_Reps!$C$2:$C$31)="West"))</f>
        <v>124646.07999999999</v>
      </c>
    </row>
    <row r="52" spans="1:7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  <c r="G52">
        <f>SUMPRODUCT(Orders!$I$2:$I$2001 * (Orders!$D$2:$D$2001=A52) * (LOOKUP(Orders!$E$2:$E$2001, Sales_Reps!$A$2:$A$31, Sales_Reps!$C$2:$C$31)="West"))</f>
        <v>109233.90000000001</v>
      </c>
    </row>
    <row r="53" spans="1:7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  <c r="G53">
        <f>SUMPRODUCT(Orders!$I$2:$I$2001 * (Orders!$D$2:$D$2001=A53) * (LOOKUP(Orders!$E$2:$E$2001, Sales_Reps!$A$2:$A$31, Sales_Reps!$C$2:$C$31)="West"))</f>
        <v>74614.720000000001</v>
      </c>
    </row>
    <row r="54" spans="1:7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  <c r="G54">
        <f>SUMPRODUCT(Orders!$I$2:$I$2001 * (Orders!$D$2:$D$2001=A54) * (LOOKUP(Orders!$E$2:$E$2001, Sales_Reps!$A$2:$A$31, Sales_Reps!$C$2:$C$31)="West"))</f>
        <v>21160.81</v>
      </c>
    </row>
    <row r="55" spans="1:7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  <c r="G55">
        <f>SUMPRODUCT(Orders!$I$2:$I$2001 * (Orders!$D$2:$D$2001=A55) * (LOOKUP(Orders!$E$2:$E$2001, Sales_Reps!$A$2:$A$31, Sales_Reps!$C$2:$C$31)="West"))</f>
        <v>19529.36</v>
      </c>
    </row>
    <row r="56" spans="1:7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  <c r="G56">
        <f>SUMPRODUCT(Orders!$I$2:$I$2001 * (Orders!$D$2:$D$2001=A56) * (LOOKUP(Orders!$E$2:$E$2001, Sales_Reps!$A$2:$A$31, Sales_Reps!$C$2:$C$31)="West"))</f>
        <v>109566.6</v>
      </c>
    </row>
    <row r="57" spans="1:7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  <c r="G57">
        <f>SUMPRODUCT(Orders!$I$2:$I$2001 * (Orders!$D$2:$D$2001=A57) * (LOOKUP(Orders!$E$2:$E$2001, Sales_Reps!$A$2:$A$31, Sales_Reps!$C$2:$C$31)="West"))</f>
        <v>260395.73999999996</v>
      </c>
    </row>
    <row r="58" spans="1:7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  <c r="G58">
        <f>SUMPRODUCT(Orders!$I$2:$I$2001 * (Orders!$D$2:$D$2001=A58) * (LOOKUP(Orders!$E$2:$E$2001, Sales_Reps!$A$2:$A$31, Sales_Reps!$C$2:$C$31)="West"))</f>
        <v>32451.840000000004</v>
      </c>
    </row>
    <row r="59" spans="1:7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  <c r="G59">
        <f>SUMPRODUCT(Orders!$I$2:$I$2001 * (Orders!$D$2:$D$2001=A59) * (LOOKUP(Orders!$E$2:$E$2001, Sales_Reps!$A$2:$A$31, Sales_Reps!$C$2:$C$31)="West"))</f>
        <v>71772</v>
      </c>
    </row>
    <row r="60" spans="1:7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  <c r="G60">
        <f>SUMPRODUCT(Orders!$I$2:$I$2001 * (Orders!$D$2:$D$2001=A60) * (LOOKUP(Orders!$E$2:$E$2001, Sales_Reps!$A$2:$A$31, Sales_Reps!$C$2:$C$31)="West"))</f>
        <v>150054.66</v>
      </c>
    </row>
    <row r="61" spans="1:7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  <c r="G61">
        <f>SUMPRODUCT(Orders!$I$2:$I$2001 * (Orders!$D$2:$D$2001=A61) * (LOOKUP(Orders!$E$2:$E$2001, Sales_Reps!$A$2:$A$31, Sales_Reps!$C$2:$C$31)="West"))</f>
        <v>7838.26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G31"/>
  <sheetViews>
    <sheetView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7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  <c r="F1" s="51" t="s">
        <v>3026</v>
      </c>
      <c r="G1" s="51"/>
    </row>
    <row r="2" spans="1:7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  <c r="F2">
        <f>SUMIF(Orders!$E$2:$E$2001, A2, Orders!$I$2:$I$2001)</f>
        <v>789849.60000000009</v>
      </c>
    </row>
    <row r="3" spans="1:7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  <c r="F3">
        <f>SUMIF(Orders!$E$2:$E$2001, A3, Orders!$I$2:$I$2001)</f>
        <v>980063.65999999968</v>
      </c>
    </row>
    <row r="4" spans="1:7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  <c r="F4">
        <f>SUMIF(Orders!$E$2:$E$2001, A4, Orders!$I$2:$I$2001)</f>
        <v>986692.91</v>
      </c>
    </row>
    <row r="5" spans="1:7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  <c r="F5">
        <f>SUMIF(Orders!$E$2:$E$2001, A5, Orders!$I$2:$I$2001)</f>
        <v>589026.2899999998</v>
      </c>
    </row>
    <row r="6" spans="1:7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  <c r="F6">
        <f>SUMIF(Orders!$E$2:$E$2001, A6, Orders!$I$2:$I$2001)</f>
        <v>782445.33</v>
      </c>
    </row>
    <row r="7" spans="1:7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  <c r="F7">
        <f>SUMIF(Orders!$E$2:$E$2001, A7, Orders!$I$2:$I$2001)</f>
        <v>1138648.73</v>
      </c>
    </row>
    <row r="8" spans="1:7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  <c r="F8">
        <f>SUMIF(Orders!$E$2:$E$2001, A8, Orders!$I$2:$I$2001)</f>
        <v>855749.67999999982</v>
      </c>
    </row>
    <row r="9" spans="1:7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  <c r="F9">
        <f>SUMIF(Orders!$E$2:$E$2001, A9, Orders!$I$2:$I$2001)</f>
        <v>861553.33</v>
      </c>
    </row>
    <row r="10" spans="1:7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  <c r="F10">
        <f>SUMIF(Orders!$E$2:$E$2001, A10, Orders!$I$2:$I$2001)</f>
        <v>914554.71999999986</v>
      </c>
    </row>
    <row r="11" spans="1:7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  <c r="F11">
        <f>SUMIF(Orders!$E$2:$E$2001, A11, Orders!$I$2:$I$2001)</f>
        <v>880345.20000000007</v>
      </c>
    </row>
    <row r="12" spans="1:7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  <c r="F12">
        <f>SUMIF(Orders!$E$2:$E$2001, A12, Orders!$I$2:$I$2001)</f>
        <v>735207.75999999989</v>
      </c>
    </row>
    <row r="13" spans="1:7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  <c r="F13">
        <f>SUMIF(Orders!$E$2:$E$2001, A13, Orders!$I$2:$I$2001)</f>
        <v>901394.32000000007</v>
      </c>
    </row>
    <row r="14" spans="1:7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  <c r="F14">
        <f>SUMIF(Orders!$E$2:$E$2001, A14, Orders!$I$2:$I$2001)</f>
        <v>811524.37999999989</v>
      </c>
    </row>
    <row r="15" spans="1:7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  <c r="F15">
        <f>SUMIF(Orders!$E$2:$E$2001, A15, Orders!$I$2:$I$2001)</f>
        <v>995713.54000000015</v>
      </c>
    </row>
    <row r="16" spans="1:7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  <c r="F16">
        <f>SUMIF(Orders!$E$2:$E$2001, A16, Orders!$I$2:$I$2001)</f>
        <v>1091740.1799999997</v>
      </c>
    </row>
    <row r="17" spans="1:6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  <c r="F17">
        <f>SUMIF(Orders!$E$2:$E$2001, A17, Orders!$I$2:$I$2001)</f>
        <v>814563.7100000002</v>
      </c>
    </row>
    <row r="18" spans="1:6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  <c r="F18">
        <f>SUMIF(Orders!$E$2:$E$2001, A18, Orders!$I$2:$I$2001)</f>
        <v>780384.40999999992</v>
      </c>
    </row>
    <row r="19" spans="1:6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  <c r="F19">
        <f>SUMIF(Orders!$E$2:$E$2001, A19, Orders!$I$2:$I$2001)</f>
        <v>1112289.6400000001</v>
      </c>
    </row>
    <row r="20" spans="1:6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  <c r="F20">
        <f>SUMIF(Orders!$E$2:$E$2001, A20, Orders!$I$2:$I$2001)</f>
        <v>971183.52000000014</v>
      </c>
    </row>
    <row r="21" spans="1:6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  <c r="F21">
        <f>SUMIF(Orders!$E$2:$E$2001, A21, Orders!$I$2:$I$2001)</f>
        <v>906107.71000000008</v>
      </c>
    </row>
    <row r="22" spans="1:6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  <c r="F22">
        <f>SUMIF(Orders!$E$2:$E$2001, A22, Orders!$I$2:$I$2001)</f>
        <v>761507.17000000027</v>
      </c>
    </row>
    <row r="23" spans="1:6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  <c r="F23">
        <f>SUMIF(Orders!$E$2:$E$2001, A23, Orders!$I$2:$I$2001)</f>
        <v>1069570.5400000003</v>
      </c>
    </row>
    <row r="24" spans="1:6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  <c r="F24">
        <f>SUMIF(Orders!$E$2:$E$2001, A24, Orders!$I$2:$I$2001)</f>
        <v>983787.4800000001</v>
      </c>
    </row>
    <row r="25" spans="1:6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  <c r="F25">
        <f>SUMIF(Orders!$E$2:$E$2001, A25, Orders!$I$2:$I$2001)</f>
        <v>819558.58</v>
      </c>
    </row>
    <row r="26" spans="1:6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  <c r="F26">
        <f>SUMIF(Orders!$E$2:$E$2001, A26, Orders!$I$2:$I$2001)</f>
        <v>901298.89</v>
      </c>
    </row>
    <row r="27" spans="1:6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  <c r="F27">
        <f>SUMIF(Orders!$E$2:$E$2001, A27, Orders!$I$2:$I$2001)</f>
        <v>576305.08000000019</v>
      </c>
    </row>
    <row r="28" spans="1:6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  <c r="F28">
        <f>SUMIF(Orders!$E$2:$E$2001, A28, Orders!$I$2:$I$2001)</f>
        <v>917092.61999999965</v>
      </c>
    </row>
    <row r="29" spans="1:6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  <c r="F29">
        <f>SUMIF(Orders!$E$2:$E$2001, A29, Orders!$I$2:$I$2001)</f>
        <v>880468.05</v>
      </c>
    </row>
    <row r="30" spans="1:6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  <c r="F30">
        <f>SUMIF(Orders!$E$2:$E$2001, A30, Orders!$I$2:$I$2001)</f>
        <v>1016696.8000000002</v>
      </c>
    </row>
    <row r="31" spans="1:6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  <c r="F31">
        <f>SUMIF(Orders!$E$2:$E$2001, A31, Orders!$I$2:$I$2001)</f>
        <v>747624.36999999988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tabSelected="1" workbookViewId="0">
      <pane ySplit="4" topLeftCell="A9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40" t="s">
        <v>3021</v>
      </c>
      <c r="B1" s="39"/>
      <c r="C1" s="39"/>
      <c r="D1" s="39"/>
      <c r="E1" s="39"/>
      <c r="F1" s="39"/>
    </row>
    <row r="2" spans="1:6" x14ac:dyDescent="0.3">
      <c r="A2" s="38" t="s">
        <v>2898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VLOOKUP("ORD-00234", Orders!A:C, 3, FALSE)</f>
        <v>CUST-0173</v>
      </c>
      <c r="F5" s="32" t="s">
        <v>2907</v>
      </c>
    </row>
    <row r="6" spans="1:6" ht="42" customHeight="1" x14ac:dyDescent="0.3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VLOOKUP(VLOOKUP("ORD-00456", Orders!A:D, 4, FALSE), Products!A:B, 2, FALSE)</f>
        <v>Dumbbells 5kg</v>
      </c>
      <c r="F6" s="32" t="s">
        <v>2911</v>
      </c>
    </row>
    <row r="7" spans="1:6" ht="42" customHeight="1" x14ac:dyDescent="0.3">
      <c r="A7" s="27" t="s">
        <v>2912</v>
      </c>
      <c r="B7" s="28" t="s">
        <v>2913</v>
      </c>
      <c r="C7" s="29">
        <v>3</v>
      </c>
      <c r="D7" s="30" t="s">
        <v>3015</v>
      </c>
      <c r="E7" s="49" t="str">
        <f>INDEX(Sales_Reps!B:B, MATCH(INDEX(Orders!E:E, MATCH("ORD-00987", Orders!A:A, 0)), Sales_Reps!A:A, 0))</f>
        <v>Nisha Menon</v>
      </c>
      <c r="F7" s="32" t="s">
        <v>2911</v>
      </c>
    </row>
    <row r="8" spans="1:6" ht="42" customHeight="1" x14ac:dyDescent="0.3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INDEX(Targets!A:M, MATCH("R012", Targets!A:A, 0), MATCH("Mar-24", Targets!1:1, 0))</f>
        <v>321255</v>
      </c>
      <c r="F8" s="32" t="s">
        <v>2917</v>
      </c>
    </row>
    <row r="9" spans="1:6" ht="42" customHeight="1" x14ac:dyDescent="0.3">
      <c r="A9" s="27" t="s">
        <v>2918</v>
      </c>
      <c r="B9" s="28" t="s">
        <v>2919</v>
      </c>
      <c r="C9" s="29">
        <v>4</v>
      </c>
      <c r="D9" s="30" t="s">
        <v>2920</v>
      </c>
      <c r="E9" s="50" t="str">
        <f>VLOOKUP(VLOOKUP("ORD-01500", Orders!A:D, 4, FALSE), Products!A:C, 3, FALSE)</f>
        <v>Electronics</v>
      </c>
      <c r="F9" s="32" t="s">
        <v>2911</v>
      </c>
    </row>
    <row r="10" spans="1:6" ht="42" customHeight="1" x14ac:dyDescent="0.3">
      <c r="A10" s="27" t="s">
        <v>2921</v>
      </c>
      <c r="B10" s="28" t="s">
        <v>2922</v>
      </c>
      <c r="C10" s="29">
        <v>3</v>
      </c>
      <c r="D10" s="30" t="s">
        <v>2923</v>
      </c>
      <c r="E10" s="31" t="str">
        <f>VLOOKUP(VLOOKUP("ORD-00789", Orders!A:H, 8, FALSE), $B$18:$C$21, 2, TRUE)</f>
        <v>Bronze</v>
      </c>
      <c r="F10" s="32" t="s">
        <v>2911</v>
      </c>
    </row>
    <row r="11" spans="1:6" ht="42" customHeight="1" x14ac:dyDescent="0.3">
      <c r="A11" s="27" t="s">
        <v>2924</v>
      </c>
      <c r="B11" s="28" t="s">
        <v>3016</v>
      </c>
      <c r="C11" s="29">
        <v>3</v>
      </c>
      <c r="D11" s="30" t="s">
        <v>2925</v>
      </c>
      <c r="E11" s="41" t="str">
        <f>VLOOKUP(VLOOKUP("ORD-01234", Orders!A:E, 5, FALSE), Sales_Reps!A:B, 2, FALSE) &amp; " (" &amp; VLOOKUP(VLOOKUP("ORD-01234", Orders!A:E, 5, FALSE), Sales_Reps!A:C, 3, FALSE) &amp; ")"</f>
        <v>Sanjay Kapoor (South)</v>
      </c>
      <c r="F11" s="32" t="s">
        <v>2911</v>
      </c>
    </row>
    <row r="12" spans="1:6" ht="42" customHeight="1" x14ac:dyDescent="0.3">
      <c r="A12" s="27" t="s">
        <v>2926</v>
      </c>
      <c r="B12" s="28" t="s">
        <v>3017</v>
      </c>
      <c r="C12" s="29">
        <v>2</v>
      </c>
      <c r="D12" s="30" t="s">
        <v>2927</v>
      </c>
      <c r="E12" s="31" t="str">
        <f>VLOOKUP(VLOOKUP("R017", Sales_Reps!A:E, 5, FALSE), Sales_Reps!A:B, 2, FALSE)</f>
        <v>Amit Singh</v>
      </c>
      <c r="F12" s="32" t="s">
        <v>2911</v>
      </c>
    </row>
    <row r="15" spans="1:6" x14ac:dyDescent="0.3">
      <c r="B15" s="22" t="s">
        <v>2928</v>
      </c>
    </row>
    <row r="17" spans="2:3" x14ac:dyDescent="0.3">
      <c r="B17" s="23" t="s">
        <v>2929</v>
      </c>
      <c r="C17" s="23" t="s">
        <v>2930</v>
      </c>
    </row>
    <row r="18" spans="2:3" x14ac:dyDescent="0.3">
      <c r="B18" s="24">
        <v>0</v>
      </c>
      <c r="C18" s="24" t="s">
        <v>2931</v>
      </c>
    </row>
    <row r="19" spans="2:3" x14ac:dyDescent="0.3">
      <c r="B19" s="24">
        <v>5</v>
      </c>
      <c r="C19" s="24" t="s">
        <v>2932</v>
      </c>
    </row>
    <row r="20" spans="2:3" x14ac:dyDescent="0.3">
      <c r="B20" s="24">
        <v>15</v>
      </c>
      <c r="C20" s="24" t="s">
        <v>2933</v>
      </c>
    </row>
    <row r="21" spans="2:3" x14ac:dyDescent="0.3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D16" sqref="D16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0" t="s">
        <v>3022</v>
      </c>
      <c r="B1" s="39"/>
      <c r="C1" s="39"/>
      <c r="D1" s="39"/>
      <c r="E1" s="39"/>
      <c r="F1" s="39"/>
    </row>
    <row r="2" spans="1:6" x14ac:dyDescent="0.3">
      <c r="A2" s="38" t="s">
        <v>2935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2936</v>
      </c>
      <c r="B5" s="28" t="s">
        <v>2937</v>
      </c>
      <c r="C5" s="29">
        <v>3</v>
      </c>
      <c r="D5" s="30" t="s">
        <v>3019</v>
      </c>
      <c r="E5" s="31">
        <f>SUMPRODUCT((COUNTIF(Orders!A2:A2001, Orders!A2:A2001)&gt;1) / COUNTIF(Orders!A2:A2001, Orders!A2:A2001))</f>
        <v>20</v>
      </c>
      <c r="F5" s="32" t="s">
        <v>2917</v>
      </c>
    </row>
    <row r="6" spans="1:6" ht="42" customHeight="1" x14ac:dyDescent="0.3">
      <c r="A6" s="27" t="s">
        <v>2938</v>
      </c>
      <c r="B6" s="28" t="s">
        <v>2939</v>
      </c>
      <c r="C6" s="29">
        <v>3</v>
      </c>
      <c r="D6" s="30" t="s">
        <v>2940</v>
      </c>
      <c r="E6" s="31">
        <f>SUMPRODUCT(--(LEN(Customers!B2:B301)&lt;&gt;LEN(TRIM(Customers!B2:B301))))</f>
        <v>15</v>
      </c>
      <c r="F6" s="32" t="s">
        <v>2917</v>
      </c>
    </row>
    <row r="7" spans="1:6" ht="42" customHeight="1" x14ac:dyDescent="0.3">
      <c r="A7" s="27" t="s">
        <v>2941</v>
      </c>
      <c r="B7" s="28" t="s">
        <v>2942</v>
      </c>
      <c r="C7" s="29">
        <v>3</v>
      </c>
      <c r="D7" s="30" t="s">
        <v>2943</v>
      </c>
      <c r="E7" s="31">
        <f>SUMPRODUCT(1/COUNTIF(Customers!D2:D301, Customers!D2:D301))</f>
        <v>6.0000000000000018</v>
      </c>
      <c r="F7" s="32" t="s">
        <v>2917</v>
      </c>
    </row>
    <row r="8" spans="1:6" ht="42" customHeight="1" x14ac:dyDescent="0.3">
      <c r="A8" s="27" t="s">
        <v>2944</v>
      </c>
      <c r="B8" s="28" t="s">
        <v>2945</v>
      </c>
      <c r="C8" s="29">
        <v>4</v>
      </c>
      <c r="D8" s="30" t="s">
        <v>2946</v>
      </c>
      <c r="E8" s="31">
        <f>SUMPRODUCT(--ISNA(MATCH(Orders!C2:C2001, Customers!A2:A301, 0)))</f>
        <v>30</v>
      </c>
      <c r="F8" s="32" t="s">
        <v>2917</v>
      </c>
    </row>
    <row r="9" spans="1:6" ht="42" customHeight="1" x14ac:dyDescent="0.3">
      <c r="A9" s="27" t="s">
        <v>2947</v>
      </c>
      <c r="B9" s="28" t="s">
        <v>2948</v>
      </c>
      <c r="C9" s="29">
        <v>3</v>
      </c>
      <c r="D9" s="30" t="s">
        <v>2949</v>
      </c>
      <c r="E9" s="31">
        <f>SUMPRODUCT(COUNTIFS(Orders!D2:D2001, Products!A2:A61) * --(Products!F2:F61=FALSE))</f>
        <v>174</v>
      </c>
      <c r="F9" s="32" t="s">
        <v>2917</v>
      </c>
    </row>
    <row r="10" spans="1:6" ht="42" customHeight="1" x14ac:dyDescent="0.3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COUNTIFS(Orders!J2:J2001, "Cancelled", Orders!H2:H2001, "&gt;20")</f>
        <v>58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3023</v>
      </c>
      <c r="B1" s="34"/>
      <c r="C1" s="34"/>
      <c r="D1" s="34"/>
      <c r="E1" s="34"/>
      <c r="F1" s="34"/>
    </row>
    <row r="2" spans="1:6" x14ac:dyDescent="0.3">
      <c r="A2" s="38" t="s">
        <v>2952</v>
      </c>
      <c r="B2" s="39"/>
      <c r="C2" s="39"/>
      <c r="D2" s="39"/>
      <c r="E2" s="39"/>
      <c r="F2" s="39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2953</v>
      </c>
      <c r="B5" s="28" t="s">
        <v>2954</v>
      </c>
      <c r="C5" s="29">
        <v>4</v>
      </c>
      <c r="D5" s="30" t="s">
        <v>2955</v>
      </c>
      <c r="E5" s="48">
        <f>SUMIFS(Orders!I2:I2001, Orders!B2:B2001, "&gt;="&amp;DATE(2024,7,1), Orders!B2:B2001, "&lt;="&amp;DATE(2024,9,30), Orders!K2:K2001, "Mumbai")</f>
        <v>1217239.0099999998</v>
      </c>
      <c r="F5" s="32" t="s">
        <v>2956</v>
      </c>
    </row>
    <row r="6" spans="1:6" ht="42" customHeight="1" x14ac:dyDescent="0.3">
      <c r="A6" s="27" t="s">
        <v>2957</v>
      </c>
      <c r="B6" s="28" t="s">
        <v>2958</v>
      </c>
      <c r="C6" s="29">
        <v>3</v>
      </c>
      <c r="D6" s="30" t="s">
        <v>2959</v>
      </c>
      <c r="E6" s="31">
        <f>COUNTIFS(Orders!H2:H2001, "&gt;15", Orders!J2:J2001, "Completed")</f>
        <v>723</v>
      </c>
      <c r="F6" s="32" t="s">
        <v>2917</v>
      </c>
    </row>
    <row r="7" spans="1:6" ht="42" customHeight="1" x14ac:dyDescent="0.3">
      <c r="A7" s="27" t="s">
        <v>2960</v>
      </c>
      <c r="B7" s="28" t="s">
        <v>3020</v>
      </c>
      <c r="C7" s="29">
        <v>5</v>
      </c>
      <c r="D7" s="30" t="s">
        <v>2961</v>
      </c>
      <c r="E7" s="48">
        <f>SUMPRODUCT(Orders!I2:I2001 * (LOOKUP(Orders!D2:D2001, Products!A2:A61, Products!C2:C61)="Electronics") * (LOOKUP(Orders!C2:C2001, Customers!A2:A301, Customers!E2:E301)="Corporate")) / SUMPRODUCT((LOOKUP(Orders!D2:D2001, Products!A2:A61, Products!C2:C61)="Electronics") * (LOOKUP(Orders!C2:C2001, Customers!A2:A301, Customers!E2:E301)="Corporate"))</f>
        <v>13981.401558441557</v>
      </c>
      <c r="F7" s="32" t="s">
        <v>2956</v>
      </c>
    </row>
    <row r="8" spans="1:6" ht="42" customHeight="1" x14ac:dyDescent="0.3">
      <c r="A8" s="27" t="s">
        <v>2962</v>
      </c>
      <c r="B8" s="28" t="s">
        <v>2963</v>
      </c>
      <c r="C8" s="29">
        <v>4</v>
      </c>
      <c r="D8" s="30" t="s">
        <v>2964</v>
      </c>
      <c r="E8" s="48">
        <f t="array" ref="E8">SUMPRODUCT(LARGE(SUMIF(Orders!E2:E2001, Sales_Reps!A2:A31, Orders!I2:I2001), {1,2,3}))</f>
        <v>3342678.55</v>
      </c>
      <c r="F8" s="32" t="s">
        <v>2956</v>
      </c>
    </row>
    <row r="9" spans="1:6" ht="42" customHeight="1" x14ac:dyDescent="0.3">
      <c r="A9" s="27" t="s">
        <v>2965</v>
      </c>
      <c r="B9" s="28" t="s">
        <v>2966</v>
      </c>
      <c r="C9" s="29">
        <v>5</v>
      </c>
      <c r="D9" s="30" t="s">
        <v>2967</v>
      </c>
      <c r="E9" s="31" t="str">
        <f t="array" ref="E9">IF((SUMIFS(Orders!I2:I2001, Orders!E2:E2001, "R015", Orders!B2:B2001, "&gt;="&amp;DATE(2024,11,1), Orders!B2:B2001, "&lt;="&amp;DATE(2024,11,30)) / VLOOKUP("R015", Targets!A2:M31, 12, FALSE)) &lt; 0.8, "Below", IF((SUMIFS(Orders!I2:I2001, Orders!E2:E2001, "R015", Orders!B2:B2001, "&gt;="&amp;DATE(2024,11,1), Orders!B2:B2001, "&lt;="&amp;DATE(2024,11,30)) / VLOOKUP("R015", Targets!A2:M31, 12, FALSE)) &lt;= 1.2, "On Track", "Exceeds"))</f>
        <v>Below</v>
      </c>
      <c r="F9" s="32" t="s">
        <v>2911</v>
      </c>
    </row>
    <row r="10" spans="1:6" ht="42" customHeight="1" x14ac:dyDescent="0.3">
      <c r="A10" s="27" t="s">
        <v>2968</v>
      </c>
      <c r="B10" s="28" t="s">
        <v>2969</v>
      </c>
      <c r="C10" s="29">
        <v>4</v>
      </c>
      <c r="D10" s="30" t="s">
        <v>2970</v>
      </c>
      <c r="E10" s="48">
        <f>SUMPRODUCT(Orders!I2:I2001 * (LOOKUP(Orders!C2:C2001, Customers!A2:A301, Customers!E2:E301)="Corporate") * (LOOKUP(Orders!C2:C2001, Customers!A2:A301, Customers!C2:C301)&gt;=30) * (LOOKUP(Orders!C2:C2001, Customers!A2:A301, Customers!C2:C301)&lt;=40))</f>
        <v>982568.40000000014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6" sqref="E6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3024</v>
      </c>
      <c r="B1" s="34"/>
      <c r="C1" s="34"/>
      <c r="D1" s="34"/>
      <c r="E1" s="34"/>
      <c r="F1" s="34"/>
    </row>
    <row r="2" spans="1:6" x14ac:dyDescent="0.3">
      <c r="A2" s="33" t="s">
        <v>2971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2972</v>
      </c>
      <c r="B5" s="17" t="s">
        <v>2973</v>
      </c>
      <c r="C5" s="18">
        <v>4</v>
      </c>
      <c r="D5" s="19" t="s">
        <v>2974</v>
      </c>
      <c r="E5" s="47">
        <f>SUMPRODUCT(Orders!I2:I2001 * (LOOKUP(Orders!D2:D2001, Products!A2:A61, Products!C2:C61)="Electronics") * (LOOKUP(Orders!E2:E2001, Sales_Reps!A2:A31, Sales_Reps!C2:C31)="South"))</f>
        <v>1314107.3899999999</v>
      </c>
      <c r="F5" s="21" t="s">
        <v>2956</v>
      </c>
    </row>
    <row r="6" spans="1:6" ht="42" customHeight="1" x14ac:dyDescent="0.3">
      <c r="A6" s="16" t="s">
        <v>2975</v>
      </c>
      <c r="B6" s="17" t="s">
        <v>2976</v>
      </c>
      <c r="C6" s="18">
        <v>4</v>
      </c>
      <c r="D6" s="19" t="s">
        <v>2977</v>
      </c>
      <c r="E6" s="47">
        <f>216421.52</f>
        <v>216421.52</v>
      </c>
      <c r="F6" s="21" t="s">
        <v>2956</v>
      </c>
    </row>
    <row r="7" spans="1:6" ht="42" customHeight="1" x14ac:dyDescent="0.3">
      <c r="A7" s="16" t="s">
        <v>2978</v>
      </c>
      <c r="B7" s="17" t="s">
        <v>2979</v>
      </c>
      <c r="C7" s="18">
        <v>4</v>
      </c>
      <c r="D7" s="19" t="s">
        <v>2980</v>
      </c>
      <c r="E7" s="46">
        <f>SUMPRODUCT(Orders!I2:I2001 * (LOOKUP(Orders!D2:D2001, Products!A2:A61, Products!C2:C61)="Apparel") * (LOOKUP(Orders!E2:E2001, Sales_Reps!A2:A31, Sales_Reps!C2:C31)="North")) / SUMPRODUCT(Orders!I2:I2001 * (LOOKUP(Orders!E2:E2001, Sales_Reps!A2:A31, Sales_Reps!C2:C31)="North"))</f>
        <v>0.14023150471988341</v>
      </c>
      <c r="F7" s="21" t="s">
        <v>2981</v>
      </c>
    </row>
    <row r="8" spans="1:6" ht="42" customHeight="1" x14ac:dyDescent="0.3">
      <c r="A8" s="16" t="s">
        <v>2982</v>
      </c>
      <c r="B8" s="17" t="s">
        <v>2983</v>
      </c>
      <c r="C8" s="18">
        <v>4</v>
      </c>
      <c r="D8" s="19" t="s">
        <v>2984</v>
      </c>
      <c r="E8" s="47">
        <f>SUMIFS(Orders!I2:I2001, Orders!B2:B2001, "&gt;="&amp;DATE(2024,10,1), Orders!B2:B2001, "&lt;="&amp;DATE(2024,12,31))</f>
        <v>6459442.9800000004</v>
      </c>
      <c r="F8" s="21" t="s">
        <v>2956</v>
      </c>
    </row>
    <row r="9" spans="1:6" ht="42" customHeight="1" x14ac:dyDescent="0.3">
      <c r="A9" s="16" t="s">
        <v>2985</v>
      </c>
      <c r="B9" s="17" t="s">
        <v>2986</v>
      </c>
      <c r="C9" s="18">
        <v>4</v>
      </c>
      <c r="D9" s="19" t="s">
        <v>2987</v>
      </c>
      <c r="E9" s="45">
        <v>0.45939999999999998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11" sqref="E11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35" t="s">
        <v>3025</v>
      </c>
      <c r="B1" s="34"/>
      <c r="C1" s="34"/>
      <c r="D1" s="34"/>
      <c r="E1" s="34"/>
      <c r="F1" s="34"/>
    </row>
    <row r="2" spans="1:6" x14ac:dyDescent="0.3">
      <c r="A2" s="33" t="s">
        <v>2988</v>
      </c>
      <c r="B2" s="34"/>
      <c r="C2" s="34"/>
      <c r="D2" s="34"/>
      <c r="E2" s="34"/>
      <c r="F2" s="34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2989</v>
      </c>
      <c r="B5" s="17" t="s">
        <v>2990</v>
      </c>
      <c r="C5" s="18">
        <v>2</v>
      </c>
      <c r="D5" s="19" t="s">
        <v>2991</v>
      </c>
      <c r="E5" s="20" t="str">
        <f>INDEX(Sales_Reps!B2:B31, MATCH(LARGE(Sales_Reps!F2:F31, 7), Sales_Reps!F2:F31, 0))</f>
        <v>Amit Singh</v>
      </c>
      <c r="F5" s="21" t="s">
        <v>2911</v>
      </c>
    </row>
    <row r="6" spans="1:6" ht="42" customHeight="1" x14ac:dyDescent="0.3">
      <c r="A6" s="16" t="s">
        <v>2992</v>
      </c>
      <c r="B6" s="17" t="s">
        <v>2993</v>
      </c>
      <c r="C6" s="18">
        <v>2</v>
      </c>
      <c r="D6" s="19" t="s">
        <v>2994</v>
      </c>
      <c r="E6" s="47">
        <f>SUMIFS(Orders!I2:I2001, Orders!B2:B2001, "&lt;="&amp;DATE(2024,8,31))</f>
        <v>18050689.600000005</v>
      </c>
      <c r="F6" s="21" t="s">
        <v>2956</v>
      </c>
    </row>
    <row r="7" spans="1:6" ht="42" customHeight="1" x14ac:dyDescent="0.3">
      <c r="A7" s="16" t="s">
        <v>2995</v>
      </c>
      <c r="B7" s="17" t="s">
        <v>2996</v>
      </c>
      <c r="C7" s="18">
        <v>3</v>
      </c>
      <c r="D7" s="19" t="s">
        <v>2997</v>
      </c>
      <c r="E7" s="20" t="str">
        <f>INDEX(Products!B2:B61, MATCH(LARGE(Products!G2:G61, 2), Products!G2:G61, 0))</f>
        <v>Smart Watch</v>
      </c>
      <c r="F7" s="21" t="s">
        <v>2911</v>
      </c>
    </row>
    <row r="8" spans="1:6" ht="42" customHeight="1" x14ac:dyDescent="0.3">
      <c r="A8" s="16" t="s">
        <v>2998</v>
      </c>
      <c r="B8" s="17" t="s">
        <v>2999</v>
      </c>
      <c r="C8" s="18">
        <v>2</v>
      </c>
      <c r="D8" s="19" t="s">
        <v>3000</v>
      </c>
      <c r="E8" s="20" t="str">
        <f>_xlfn.TEXTJOIN(" | ", TRUE, INDEX(Sales_Reps!B2:B31, MATCH(LARGE(Sales_Reps!F2:F31, {1,2,3,4,5}), Sales_Reps!F2:F31, 0)))</f>
        <v>Neha Desai</v>
      </c>
      <c r="F8" s="21" t="s">
        <v>2911</v>
      </c>
    </row>
    <row r="9" spans="1:6" ht="42" customHeight="1" x14ac:dyDescent="0.3">
      <c r="A9" s="16" t="s">
        <v>3001</v>
      </c>
      <c r="B9" s="17" t="s">
        <v>3002</v>
      </c>
      <c r="C9" s="18">
        <v>1</v>
      </c>
      <c r="D9" s="19" t="s">
        <v>3003</v>
      </c>
      <c r="E9" s="47">
        <f t="array" ref="E9">MAX(IF((Orders!K2:K2001="Bengaluru")*(Orders!L2:L2001="Grocery"), Orders!I2:I2001))</f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Birje</cp:lastModifiedBy>
  <dcterms:created xsi:type="dcterms:W3CDTF">2026-08-08T11:39:42Z</dcterms:created>
  <dcterms:modified xsi:type="dcterms:W3CDTF">2026-09-03T15:34:57Z</dcterms:modified>
</cp:coreProperties>
</file>